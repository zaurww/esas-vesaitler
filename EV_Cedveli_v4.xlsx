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" sheetId="1" state="visible" r:id="rId3"/>
    <sheet name="EV" sheetId="2" state="visible" r:id="rId4"/>
    <sheet name="QMA" sheetId="3" state="visible" r:id="rId5"/>
    <sheet name="parametr" sheetId="4" state="visible" r:id="rId6"/>
    <sheet name="Təmir Fondu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<sst xmlns="http://schemas.openxmlformats.org/spreadsheetml/2006/main" count="367" uniqueCount="138">
  <si>
    <t xml:space="preserve">ƏSAS VƏSAİTLƏR VƏ QMA — Amortizasiya Uçotu  |  VM AZ 114, 115</t>
  </si>
  <si>
    <t xml:space="preserve">Şirkətin adı:</t>
  </si>
  <si>
    <t xml:space="preserve">İl:</t>
  </si>
  <si>
    <t xml:space="preserve">Sahibkar kateqoriyası:</t>
  </si>
  <si>
    <t xml:space="preserve">Mikro</t>
  </si>
  <si>
    <t xml:space="preserve">KATEQORİYA ÜZRƏ YEKUN</t>
  </si>
  <si>
    <t xml:space="preserve">Kateqoriya</t>
  </si>
  <si>
    <t xml:space="preserve">Qalıq
(il əvvəli)</t>
  </si>
  <si>
    <t xml:space="preserve">Amortizasiya</t>
  </si>
  <si>
    <t xml:space="preserve">Qalıq
(il sonu)</t>
  </si>
  <si>
    <t xml:space="preserve">Təmir
fondu</t>
  </si>
  <si>
    <t xml:space="preserve">Növbəti il
limiti</t>
  </si>
  <si>
    <t xml:space="preserve">Binalar, tikililər</t>
  </si>
  <si>
    <t xml:space="preserve">Maşınlar, avadanlıq</t>
  </si>
  <si>
    <t xml:space="preserve">Nəqliyyat vasitələri</t>
  </si>
  <si>
    <t xml:space="preserve">Yük maşınları</t>
  </si>
  <si>
    <t xml:space="preserve">Yüksək texnologiya</t>
  </si>
  <si>
    <t xml:space="preserve">Digər əsas vəsaitlər</t>
  </si>
  <si>
    <t xml:space="preserve">İcarə ƏV-nin təmiri</t>
  </si>
  <si>
    <t xml:space="preserve">QMA — FİM məlum</t>
  </si>
  <si>
    <t xml:space="preserve">""</t>
  </si>
  <si>
    <t xml:space="preserve">QMA — FİM nəməlum</t>
  </si>
  <si>
    <t xml:space="preserve">C Ə M İ</t>
  </si>
  <si>
    <t xml:space="preserve">Sarı = daxil edin  |  Boz = formula, toxunmayın  |  ⚠ = diqqət tələb edir</t>
  </si>
  <si>
    <t xml:space="preserve">ƏSAS VƏSAİTLƏR — Amortizasiya Cədvəli  |  VM AZ Maddə 114</t>
  </si>
  <si>
    <t xml:space="preserve">İdentifikasiya</t>
  </si>
  <si>
    <t xml:space="preserve">İlin əvvəlinə</t>
  </si>
  <si>
    <t xml:space="preserve">Daxilolmalar</t>
  </si>
  <si>
    <t xml:space="preserve">Xaricetmə</t>
  </si>
  <si>
    <t xml:space="preserve">İlin sonuna</t>
  </si>
  <si>
    <t xml:space="preserve">⚠</t>
  </si>
  <si>
    <t xml:space="preserve">Kod</t>
  </si>
  <si>
    <t xml:space="preserve">İnv.№</t>
  </si>
  <si>
    <t xml:space="preserve">Adı</t>
  </si>
  <si>
    <t xml:space="preserve">Kontragent</t>
  </si>
  <si>
    <t xml:space="preserve">Alış tarixi</t>
  </si>
  <si>
    <t xml:space="preserve">Qalıq dəyər
(il əvvəli)</t>
  </si>
  <si>
    <t xml:space="preserve">İlkin dəyər
(il əvvəli)</t>
  </si>
  <si>
    <t xml:space="preserve">Yığılmış
(il əvvəli)</t>
  </si>
  <si>
    <t xml:space="preserve">Daxilolma
İlkin dəyər</t>
  </si>
  <si>
    <t xml:space="preserve">Faktiki
təmir</t>
  </si>
  <si>
    <t xml:space="preserve">Gəlirdən
çıxılan</t>
  </si>
  <si>
    <t xml:space="preserve">Kapital-
laşan</t>
  </si>
  <si>
    <t xml:space="preserve">Xaric
İlkin</t>
  </si>
  <si>
    <t xml:space="preserve">Xaric
Yığılmış</t>
  </si>
  <si>
    <t xml:space="preserve">Xaric
Qalıq</t>
  </si>
  <si>
    <t xml:space="preserve">Hesab.
Amort.</t>
  </si>
  <si>
    <t xml:space="preserve">Amort.
Baza</t>
  </si>
  <si>
    <t xml:space="preserve">Amort.
Dərəcə</t>
  </si>
  <si>
    <t xml:space="preserve">İlkin dəyər
(il sonu)</t>
  </si>
  <si>
    <t xml:space="preserve">Qalıq dəyər
(il sonu)</t>
  </si>
  <si>
    <t xml:space="preserve">Yığılmış
(il sonu)</t>
  </si>
  <si>
    <t xml:space="preserve">bt</t>
  </si>
  <si>
    <t xml:space="preserve">ma</t>
  </si>
  <si>
    <t xml:space="preserve">nv</t>
  </si>
  <si>
    <t xml:space="preserve">ym</t>
  </si>
  <si>
    <t xml:space="preserve">yt</t>
  </si>
  <si>
    <t xml:space="preserve">dg</t>
  </si>
  <si>
    <t xml:space="preserve">it</t>
  </si>
  <si>
    <t xml:space="preserve">Tamir</t>
  </si>
  <si>
    <t xml:space="preserve">"DEMİRÇİ DEVELOPMENT" MƏHDUD MƏSULİYYƏTLİ CƏMİYYƏTİ</t>
  </si>
  <si>
    <t xml:space="preserve">Jalüz</t>
  </si>
  <si>
    <t xml:space="preserve">BRK2651/Tur-K koltuk</t>
  </si>
  <si>
    <t xml:space="preserve">Zivella Mobiliya</t>
  </si>
  <si>
    <t xml:space="preserve">BRK5215/Phase beşli sehpalı divan</t>
  </si>
  <si>
    <t xml:space="preserve">OFİS BRANDİNG</t>
  </si>
  <si>
    <t xml:space="preserve">“ER-İNŞAAT SANAYİ TİCARƏT” MƏHDUD MƏSULİYYƏTLİ CƏMİYYƏTİ</t>
  </si>
  <si>
    <t xml:space="preserve">X-name əsas masa yan tumbalı (2000x1660x760) (Liyon Valnut)</t>
  </si>
  <si>
    <t xml:space="preserve">"EMBAWOOD" MƏHDUD MƏSULİYYƏTLİ CƏMİYYƏTİ</t>
  </si>
  <si>
    <t xml:space="preserve">Executive armchair - Glasgow - LA-862MH (Qara)</t>
  </si>
  <si>
    <t xml:space="preserve">Toplantı masası (2400x1200) (Ag)</t>
  </si>
  <si>
    <t xml:space="preserve">TV altı (Liyon Valnut, Qara)</t>
  </si>
  <si>
    <t xml:space="preserve">Dolab (1800x400x1400)</t>
  </si>
  <si>
    <t xml:space="preserve">Printer / Yazıcı</t>
  </si>
  <si>
    <t xml:space="preserve">"KOÇSİSTEM AZƏRBAYCAN" MƏHDUD MƏSULİYYƏTLİ CƏMİYYƏTİ</t>
  </si>
  <si>
    <t xml:space="preserve">75’’ TV TV LED GR 75 VLX 7860</t>
  </si>
  <si>
    <t xml:space="preserve">"SOLİTON LTD" MƏHDUD MƏSULİYYƏTLİ CƏMİYYƏTİ</t>
  </si>
  <si>
    <t xml:space="preserve">65’’ TV TV LED BEKO B65B 880B</t>
  </si>
  <si>
    <t xml:space="preserve">IPHONE 13 MINI 128GB BLUE</t>
  </si>
  <si>
    <t xml:space="preserve">ThinkPad E15 G2/ 15.6' Full HD/ i7-1165G7/ 16GB/ 512GB SSD/ Free Dos/ 1Y WRTY</t>
  </si>
  <si>
    <t xml:space="preserve">"DİVİ CORPORATİON" MƏHDUD MƏSULİYYƏTLİ CƏMİYYƏTİ</t>
  </si>
  <si>
    <t xml:space="preserve">Laptop Lenovo L3 15IML05/ 15.6' FHD IPS/ i7 10510U/ 12GB/ 1TB + 256GB SSD/ NV MX330 2GB/ Free D/Li-P</t>
  </si>
  <si>
    <t xml:space="preserve">UniFi 6 Pro (U6-Pro)</t>
  </si>
  <si>
    <t xml:space="preserve">"BRAVO TECHNOLOGİES" MƏHDUD MƏSULİYYƏTLİ CƏMİYYƏTİ</t>
  </si>
  <si>
    <t xml:space="preserve">"X-name" əsas masa yan tumbalı (2000x1660x760) (liyon Valnut/qara)</t>
  </si>
  <si>
    <t xml:space="preserve">"TOKEN AZƏRBAYCAN" MƏHDUD MƏSULİYYƏTLİ CƏMİYYƏTİ</t>
  </si>
  <si>
    <t xml:space="preserve">iPhone 13 128GB</t>
  </si>
  <si>
    <t xml:space="preserve">"ABC-TELECOM" MƏHDUD MƏSULİYYƏTLİ CƏMİYYƏTİ</t>
  </si>
  <si>
    <t xml:space="preserve">Laptop Lenovo ThinkPad T14 G3</t>
  </si>
  <si>
    <t xml:space="preserve">"DİVİ CORPORATİON" MƏHDUD MƏSULİYYƏTLİ CƏMİYYƏTİ	</t>
  </si>
  <si>
    <t xml:space="preserve">Lenovo ThinkBook 15 G4 IAP</t>
  </si>
  <si>
    <t xml:space="preserve">Su qızdırıcı dispenser</t>
  </si>
  <si>
    <t xml:space="preserve">YGB Arçelik</t>
  </si>
  <si>
    <t xml:space="preserve">TV B32</t>
  </si>
  <si>
    <t xml:space="preserve">Dolab </t>
  </si>
  <si>
    <t xml:space="preserve">Lenovo ThinkBook 16 G6</t>
  </si>
  <si>
    <t xml:space="preserve">"Tarol DD" MMC</t>
  </si>
  <si>
    <t xml:space="preserve">Divan</t>
  </si>
  <si>
    <t xml:space="preserve">Lenovo ThinkBook 14</t>
  </si>
  <si>
    <t xml:space="preserve">NEP Group MMC</t>
  </si>
  <si>
    <t xml:space="preserve">Səsləndirmə aparatı</t>
  </si>
  <si>
    <t xml:space="preserve">Microphone MMC</t>
  </si>
  <si>
    <t xml:space="preserve">Lenovo TP </t>
  </si>
  <si>
    <t xml:space="preserve">TV</t>
  </si>
  <si>
    <t xml:space="preserve">"İrşad Electronics" MMC</t>
  </si>
  <si>
    <t xml:space="preserve">İphone 17 Pro</t>
  </si>
  <si>
    <t xml:space="preserve">QEYRİ-MADDİ AKTİVLƏR — Amortizasiya Cədvəli  |  VM AZ Maddə 114</t>
  </si>
  <si>
    <t xml:space="preserve">Növü</t>
  </si>
  <si>
    <t xml:space="preserve">FİM
(il)</t>
  </si>
  <si>
    <t xml:space="preserve">qma-n</t>
  </si>
  <si>
    <t xml:space="preserve">Windows 10</t>
  </si>
  <si>
    <t xml:space="preserve">Windows 11</t>
  </si>
  <si>
    <t xml:space="preserve">PARAMETRLƏR  |  Amortizasiya dərəcələri və limitlər</t>
  </si>
  <si>
    <t xml:space="preserve">Amort. dərəcə (maks)</t>
  </si>
  <si>
    <t xml:space="preserve">Təmir limiti %</t>
  </si>
  <si>
    <t xml:space="preserve">Sahibkarlıq meyarı</t>
  </si>
  <si>
    <t xml:space="preserve">Qeyd</t>
  </si>
  <si>
    <t xml:space="preserve">Maks 7%</t>
  </si>
  <si>
    <t xml:space="preserve">Maks 20%</t>
  </si>
  <si>
    <t xml:space="preserve">Maks 25%</t>
  </si>
  <si>
    <t xml:space="preserve">İcarəyə götürülmüş ƏV-in təmiri</t>
  </si>
  <si>
    <t xml:space="preserve">1/MAX(FİM;5)</t>
  </si>
  <si>
    <t xml:space="preserve">qma-m</t>
  </si>
  <si>
    <t xml:space="preserve">1/FİM</t>
  </si>
  <si>
    <t xml:space="preserve">10% sabit</t>
  </si>
  <si>
    <t xml:space="preserve">Sahibkarlıq koefficientləri  (amortizasiyaya tətbiq olunur):</t>
  </si>
  <si>
    <t xml:space="preserve">Mikro sahibkar</t>
  </si>
  <si>
    <t xml:space="preserve">← Bas listindən seçilir</t>
  </si>
  <si>
    <t xml:space="preserve">Kiçik sahibkar</t>
  </si>
  <si>
    <t xml:space="preserve">Orta sahibkar</t>
  </si>
  <si>
    <t xml:space="preserve">TƏMİR XƏRCLƏRİNİN VERGİ FONDU — VM AZ Maddə 115</t>
  </si>
  <si>
    <t xml:space="preserve">Qalıq (il əvvəli)</t>
  </si>
  <si>
    <t xml:space="preserve">Limit %</t>
  </si>
  <si>
    <t xml:space="preserve">Limit (AZN)</t>
  </si>
  <si>
    <t xml:space="preserve">Faktiki təmir</t>
  </si>
  <si>
    <t xml:space="preserve">Gəlirdən çıxılan</t>
  </si>
  <si>
    <t xml:space="preserve">Kapitallaşan</t>
  </si>
  <si>
    <t xml:space="preserve">CƏMI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</si>
</sst>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;\(#,##0.00\);\-"/>
    <numFmt numFmtId="166" formatCode="0.0%;\(0.0%\);\-"/>
    <numFmt numFmtId="167" formatCode="dd\.mm\.yyyy"/>
    <numFmt numFmtId="168" formatCode="0"/>
    <numFmt numFmtId="169" formatCode="0.0%"/>
    <numFmt numFmtId="170" formatCode="0.0\x"/>
    <numFmt numFmtId="171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C3E50"/>
        <bgColor rgb="FF003366"/>
      </patternFill>
    </fill>
    <fill>
      <patternFill patternType="solid">
        <fgColor rgb="FFFFFAEB"/>
        <bgColor rgb="FFFFFFFF"/>
      </patternFill>
    </fill>
    <fill>
      <patternFill patternType="solid">
        <fgColor rgb="FFEBEBEB"/>
        <bgColor rgb="FFF3F3F3"/>
      </patternFill>
    </fill>
    <fill>
      <patternFill patternType="solid">
        <fgColor rgb="FF607D8B"/>
        <bgColor rgb="FF666666"/>
      </patternFill>
    </fill>
    <fill>
      <patternFill patternType="solid">
        <fgColor rgb="FFF9A825"/>
        <bgColor rgb="FFFFC107"/>
      </patternFill>
    </fill>
    <fill>
      <patternFill patternType="solid">
        <fgColor rgb="FF1565C0"/>
        <bgColor rgb="FF1E88E5"/>
      </patternFill>
    </fill>
    <fill>
      <patternFill patternType="solid">
        <fgColor rgb="FFB71C1C"/>
        <bgColor rgb="FFC00000"/>
      </patternFill>
    </fill>
    <fill>
      <patternFill patternType="solid">
        <fgColor rgb="FF2E7D32"/>
        <bgColor rgb="FF008080"/>
      </patternFill>
    </fill>
    <fill>
      <patternFill patternType="solid">
        <fgColor rgb="FFF3F3F3"/>
        <bgColor rgb="FFEBEBEB"/>
      </patternFill>
    </fill>
    <fill>
      <patternFill patternType="solid">
        <fgColor rgb="FFFFFFFF"/>
        <bgColor rgb="FFFFFAEB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FFC107"/>
      </left>
      <right/>
      <top/>
      <bottom/>
      <diagonal/>
    </border>
    <border diagonalUp="false" diagonalDown="false">
      <left style="medium">
        <color rgb="FF1E88E5"/>
      </left>
      <right/>
      <top/>
      <bottom/>
      <diagonal/>
    </border>
    <border diagonalUp="false" diagonalDown="false">
      <left style="medium">
        <color rgb="FF4CAF50"/>
      </left>
      <right/>
      <top/>
      <bottom/>
      <diagonal/>
    </border>
    <border diagonalUp="false" diagonalDown="false">
      <left style="medium">
        <color rgb="FFFFC107"/>
      </left>
      <right/>
      <top style="thin"/>
      <bottom style="thin"/>
      <diagonal/>
    </border>
    <border diagonalUp="false" diagonalDown="false">
      <left style="medium">
        <color rgb="FF1E88E5"/>
      </left>
      <right/>
      <top style="thin"/>
      <bottom style="thin"/>
      <diagonal/>
    </border>
    <border diagonalUp="false" diagonalDown="false">
      <left style="medium">
        <color rgb="FF4CAF50"/>
      </left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AEB"/>
      <rgbColor rgb="FFF3F3F3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EBEB"/>
      <rgbColor rgb="FFCCFFCC"/>
      <rgbColor rgb="FFFFFF99"/>
      <rgbColor rgb="FF99CCFF"/>
      <rgbColor rgb="FFFF99CC"/>
      <rgbColor rgb="FFCC99FF"/>
      <rgbColor rgb="FFFCE4D6"/>
      <rgbColor rgb="FF1E88E5"/>
      <rgbColor rgb="FF33CCCC"/>
      <rgbColor rgb="FF99CC00"/>
      <rgbColor rgb="FFFFC107"/>
      <rgbColor rgb="FFF9A825"/>
      <rgbColor rgb="FFE65100"/>
      <rgbColor rgb="FF666666"/>
      <rgbColor rgb="FF607D8B"/>
      <rgbColor rgb="FF003366"/>
      <rgbColor rgb="FF4CAF50"/>
      <rgbColor rgb="FF003300"/>
      <rgbColor rgb="FF333300"/>
      <rgbColor rgb="FFB71C1C"/>
      <rgbColor rgb="FF993366"/>
      <rgbColor rgb="FF5555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6" min="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9.75" hidden="false" customHeight="true" outlineLevel="0" collapsed="false"/>
    <row r="3" customFormat="false" ht="21.75" hidden="false" customHeight="true" outlineLevel="0" collapsed="false">
      <c r="A3" s="2" t="s">
        <v>1</v>
      </c>
      <c r="B3" s="3"/>
    </row>
    <row r="4" customFormat="false" ht="21.75" hidden="false" customHeight="true" outlineLevel="0" collapsed="false">
      <c r="A4" s="2" t="s">
        <v>2</v>
      </c>
      <c r="B4" s="3" t="n">
        <v>2025</v>
      </c>
    </row>
    <row r="5" customFormat="false" ht="21.75" hidden="false" customHeight="true" outlineLevel="0" collapsed="false">
      <c r="A5" s="2" t="s">
        <v>3</v>
      </c>
      <c r="B5" s="3" t="s">
        <v>4</v>
      </c>
    </row>
    <row r="7" customFormat="false" ht="21.7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0" hidden="false" customHeight="true" outlineLevel="0" collapsed="false">
      <c r="A8" s="5" t="s">
        <v>6</v>
      </c>
      <c r="B8" s="6" t="s">
        <v>7</v>
      </c>
      <c r="C8" s="7" t="s">
        <v>8</v>
      </c>
      <c r="D8" s="8" t="s">
        <v>9</v>
      </c>
      <c r="E8" s="5" t="s">
        <v>10</v>
      </c>
      <c r="F8" s="5" t="s">
        <v>11</v>
      </c>
    </row>
    <row r="9" customFormat="false" ht="19.5" hidden="false" customHeight="true" outlineLevel="0" collapsed="false">
      <c r="A9" s="9" t="s">
        <v>12</v>
      </c>
      <c r="B9" s="10" t="n">
        <f aca="false">IFERROR(SUMIF(EV!B:B,"bt",EV!G:G),0)</f>
        <v>38447.54</v>
      </c>
      <c r="C9" s="11" t="n">
        <f aca="false">IFERROR(SUMIF(EV!B:B,"bt",EV!Q:Q),0)</f>
        <v>0</v>
      </c>
      <c r="D9" s="12" t="n">
        <f aca="false">IFERROR(SUMIF(EV!B:B,"bt",EV!W:W),0)</f>
        <v>38447.54</v>
      </c>
      <c r="E9" s="13" t="n">
        <f aca="false">IFERROR(SUMIF('Təmir Fondu'!A:A,"bt",'Təmir Fondu'!G:G),0)</f>
        <v>0</v>
      </c>
      <c r="F9" s="13" t="n">
        <f aca="false">IFERROR(SUMIF(EV!B:B,"bt",EV!W:W)*0.02,0)</f>
        <v>768.9508</v>
      </c>
    </row>
    <row r="10" customFormat="false" ht="19.5" hidden="false" customHeight="true" outlineLevel="0" collapsed="false">
      <c r="A10" s="9" t="s">
        <v>13</v>
      </c>
      <c r="B10" s="10" t="n">
        <f aca="false">IFERROR(SUMIF(EV!B:B,"ma",EV!G:G),0)</f>
        <v>0</v>
      </c>
      <c r="C10" s="11" t="n">
        <f aca="false">IFERROR(SUMIF(EV!B:B,"ma",EV!Q:Q),0)</f>
        <v>0</v>
      </c>
      <c r="D10" s="12" t="n">
        <f aca="false">IFERROR(SUMIF(EV!B:B,"ma",EV!W:W),0)</f>
        <v>0</v>
      </c>
      <c r="E10" s="13" t="n">
        <f aca="false">IFERROR(SUMIF('Təmir Fondu'!A:A,"ma",'Təmir Fondu'!G:G),0)</f>
        <v>0</v>
      </c>
      <c r="F10" s="13" t="n">
        <f aca="false">IFERROR(SUMIF(EV!B:B,"ma",EV!W:W)*0.05,0)</f>
        <v>0</v>
      </c>
    </row>
    <row r="11" customFormat="false" ht="19.5" hidden="false" customHeight="true" outlineLevel="0" collapsed="false">
      <c r="A11" s="9" t="s">
        <v>14</v>
      </c>
      <c r="B11" s="10" t="n">
        <f aca="false">IFERROR(SUMIF(EV!B:B,"nv",EV!G:G),0)</f>
        <v>0</v>
      </c>
      <c r="C11" s="11" t="n">
        <f aca="false">IFERROR(SUMIF(EV!B:B,"nv",EV!Q:Q),0)</f>
        <v>0</v>
      </c>
      <c r="D11" s="12" t="n">
        <f aca="false">IFERROR(SUMIF(EV!B:B,"nv",EV!W:W),0)</f>
        <v>0</v>
      </c>
      <c r="E11" s="13" t="n">
        <f aca="false">IFERROR(SUMIF('Təmir Fondu'!A:A,"nv",'Təmir Fondu'!G:G),0)</f>
        <v>0</v>
      </c>
      <c r="F11" s="13" t="n">
        <f aca="false">IFERROR(SUMIF(EV!B:B,"nv",EV!W:W)*0.03,0)</f>
        <v>0</v>
      </c>
    </row>
    <row r="12" customFormat="false" ht="19.5" hidden="false" customHeight="true" outlineLevel="0" collapsed="false">
      <c r="A12" s="9" t="s">
        <v>15</v>
      </c>
      <c r="B12" s="10" t="n">
        <f aca="false">IFERROR(SUMIF(EV!B:B,"ym",EV!G:G),0)</f>
        <v>0</v>
      </c>
      <c r="C12" s="11" t="n">
        <f aca="false">IFERROR(SUMIF(EV!B:B,"ym",EV!Q:Q),0)</f>
        <v>0</v>
      </c>
      <c r="D12" s="12" t="n">
        <f aca="false">IFERROR(SUMIF(EV!B:B,"ym",EV!W:W),0)</f>
        <v>0</v>
      </c>
      <c r="E12" s="13" t="n">
        <f aca="false">IFERROR(SUMIF('Təmir Fondu'!A:A,"ym",'Təmir Fondu'!G:G),0)</f>
        <v>0</v>
      </c>
      <c r="F12" s="13" t="n">
        <f aca="false">IFERROR(SUMIF(EV!B:B,"ym",EV!W:W)*0.08,0)</f>
        <v>0</v>
      </c>
    </row>
    <row r="13" customFormat="false" ht="19.5" hidden="false" customHeight="true" outlineLevel="0" collapsed="false">
      <c r="A13" s="9" t="s">
        <v>16</v>
      </c>
      <c r="B13" s="10" t="n">
        <f aca="false">IFERROR(SUMIF(EV!B:B,"yt",EV!G:G),0)</f>
        <v>70972.116875</v>
      </c>
      <c r="C13" s="11" t="n">
        <f aca="false">IFERROR(SUMIF(EV!B:B,"yt",EV!Q:Q),0)</f>
        <v>0</v>
      </c>
      <c r="D13" s="12" t="n">
        <f aca="false">IFERROR(SUMIF(EV!B:B,"yt",EV!W:W),0)</f>
        <v>70972.116875</v>
      </c>
      <c r="E13" s="13" t="n">
        <f aca="false">IFERROR(SUMIF('Təmir Fondu'!A:A,"yt",'Təmir Fondu'!G:G),0)</f>
        <v>0</v>
      </c>
      <c r="F13" s="13" t="n">
        <f aca="false">IFERROR(SUMIF(EV!B:B,"yt",EV!W:W)*0.03,0)</f>
        <v>2129.16350625</v>
      </c>
    </row>
    <row r="14" customFormat="false" ht="19.5" hidden="false" customHeight="true" outlineLevel="0" collapsed="false">
      <c r="A14" s="9" t="s">
        <v>17</v>
      </c>
      <c r="B14" s="10" t="n">
        <f aca="false">IFERROR(SUMIF(EV!B:B,"dg",EV!G:G),0)</f>
        <v>11260.8792</v>
      </c>
      <c r="C14" s="11" t="n">
        <f aca="false">IFERROR(SUMIF(EV!B:B,"dg",EV!Q:Q),0)</f>
        <v>0</v>
      </c>
      <c r="D14" s="12" t="n">
        <f aca="false">IFERROR(SUMIF(EV!B:B,"dg",EV!W:W),0)</f>
        <v>11260.8792</v>
      </c>
      <c r="E14" s="13" t="n">
        <f aca="false">IFERROR(SUMIF('Təmir Fondu'!A:A,"dg",'Təmir Fondu'!G:G),0)</f>
        <v>0</v>
      </c>
      <c r="F14" s="13" t="n">
        <f aca="false">IFERROR(SUMIF(EV!B:B,"dg",EV!W:W)*0.03,0)</f>
        <v>337.826376</v>
      </c>
    </row>
    <row r="15" customFormat="false" ht="19.5" hidden="false" customHeight="true" outlineLevel="0" collapsed="false">
      <c r="A15" s="9" t="s">
        <v>18</v>
      </c>
      <c r="B15" s="10" t="n">
        <f aca="false">IFERROR(SUMIF(EV!B:B,"it",EV!G:G),0)</f>
        <v>0</v>
      </c>
      <c r="C15" s="11" t="n">
        <f aca="false">IFERROR(SUMIF(EV!B:B,"it",EV!Q:Q),0)</f>
        <v>0</v>
      </c>
      <c r="D15" s="12" t="n">
        <f aca="false">IFERROR(SUMIF(EV!B:B,"it",EV!W:W),0)</f>
        <v>0</v>
      </c>
      <c r="E15" s="13" t="n">
        <f aca="false">IFERROR(SUMIF('Təmir Fondu'!A:A,"it",'Təmir Fondu'!G:G),0)</f>
        <v>0</v>
      </c>
      <c r="F15" s="13" t="n">
        <f aca="false">IFERROR(SUMIF(EV!B:B,"it",EV!W:W)*0.03,0)</f>
        <v>0</v>
      </c>
    </row>
    <row r="16" customFormat="false" ht="19.5" hidden="false" customHeight="true" outlineLevel="0" collapsed="false">
      <c r="A16" s="9" t="s">
        <v>19</v>
      </c>
      <c r="B16" s="10" t="n">
        <f aca="false">IFERROR(SUMIF(QMA!A:A,"qma-m",QMA!D:D),0)</f>
        <v>0</v>
      </c>
      <c r="C16" s="11" t="n">
        <f aca="false">IFERROR(SUMIF(QMA!A:A,"qma-m",QMA!J:J),0)</f>
        <v>0</v>
      </c>
      <c r="D16" s="12" t="n">
        <f aca="false">IFERROR(SUMIF(QMA!A:A,"qma-m",QMA!N:N),0)</f>
        <v>0</v>
      </c>
      <c r="E16" s="13" t="s">
        <v>20</v>
      </c>
      <c r="F16" s="13" t="s">
        <v>20</v>
      </c>
    </row>
    <row r="17" customFormat="false" ht="19.5" hidden="false" customHeight="true" outlineLevel="0" collapsed="false">
      <c r="A17" s="9" t="s">
        <v>21</v>
      </c>
      <c r="B17" s="10" t="n">
        <f aca="false">IFERROR(SUMIF(QMA!A:A,"qma-n",QMA!D:D),0)</f>
        <v>4384.59</v>
      </c>
      <c r="C17" s="11" t="n">
        <f aca="false">IFERROR(SUMIF(QMA!A:A,"qma-n",QMA!J:J),0)</f>
        <v>438.459</v>
      </c>
      <c r="D17" s="12" t="n">
        <f aca="false">IFERROR(SUMIF(QMA!A:A,"qma-n",QMA!N:N),0)</f>
        <v>3498.597</v>
      </c>
      <c r="E17" s="13" t="s">
        <v>20</v>
      </c>
      <c r="F17" s="13" t="s">
        <v>20</v>
      </c>
    </row>
    <row r="18" customFormat="false" ht="21.75" hidden="false" customHeight="true" outlineLevel="0" collapsed="false">
      <c r="A18" s="2" t="s">
        <v>22</v>
      </c>
      <c r="B18" s="14" t="n">
        <f aca="false">SUM(B9:B17)</f>
        <v>125065.126075</v>
      </c>
      <c r="C18" s="15" t="n">
        <f aca="false">SUM(C9:C17)</f>
        <v>438.459</v>
      </c>
      <c r="D18" s="16" t="n">
        <f aca="false">SUM(D9:D17)</f>
        <v>124179.133075</v>
      </c>
      <c r="E18" s="17" t="n">
        <f aca="false">SUM(E9:E17)</f>
        <v>0</v>
      </c>
    </row>
    <row r="20" customFormat="false" ht="15.75" hidden="false" customHeight="true" outlineLevel="0" collapsed="false">
      <c r="A20" s="18" t="s">
        <v>23</v>
      </c>
      <c r="B20" s="18"/>
      <c r="C20" s="18"/>
      <c r="D20" s="18"/>
      <c r="E20" s="18"/>
      <c r="F20" s="18"/>
    </row>
  </sheetData>
  <mergeCells count="3">
    <mergeCell ref="A1:F1"/>
    <mergeCell ref="A7:F7"/>
    <mergeCell ref="A20:F20"/>
  </mergeCells>
  <dataValidations count="1">
    <dataValidation allowBlank="false" errorStyle="stop" operator="between" showDropDown="false" showErrorMessage="false" showInputMessage="false" sqref="B5" type="list">
      <formula1>"Mikro,Kiçik,Orta"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Y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2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2" max="5" min="5" style="0" width="28"/>
    <col collapsed="false" customWidth="true" hidden="false" outlineLevel="2" max="6" min="6" style="0" width="12"/>
    <col collapsed="false" customWidth="true" hidden="false" outlineLevel="0" max="7" min="7" style="0" width="15"/>
    <col collapsed="false" customWidth="true" hidden="false" outlineLevel="1" max="9" min="8" style="0" width="15"/>
    <col collapsed="false" customWidth="true" hidden="false" outlineLevel="1" max="12" min="10" style="0" width="14"/>
    <col collapsed="false" customWidth="true" hidden="false" outlineLevel="1" max="13" min="13" style="0" width="13"/>
    <col collapsed="false" customWidth="true" hidden="false" outlineLevel="1" max="15" min="14" style="0" width="14"/>
    <col collapsed="false" customWidth="true" hidden="false" outlineLevel="1" max="16" min="16" style="0" width="13"/>
    <col collapsed="false" customWidth="true" hidden="false" outlineLevel="0" max="17" min="17" style="0" width="15"/>
    <col collapsed="false" customWidth="true" hidden="false" outlineLevel="1" max="18" min="18" style="0" width="14"/>
    <col collapsed="false" customWidth="true" hidden="false" outlineLevel="1" max="19" min="19" style="0" width="10"/>
    <col collapsed="false" customWidth="true" hidden="true" outlineLevel="0" max="21" min="20" style="0" width="11.53"/>
    <col collapsed="false" customWidth="true" hidden="false" outlineLevel="0" max="23" min="22" style="0" width="15"/>
    <col collapsed="false" customWidth="true" hidden="false" outlineLevel="2" max="24" min="24" style="0" width="15"/>
    <col collapsed="false" customWidth="true" hidden="true" outlineLevel="0" max="25" min="25" style="0" width="11.53"/>
  </cols>
  <sheetData>
    <row r="1" customFormat="false" ht="30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2.75" hidden="false" customHeight="true" outlineLevel="0" collapsed="false">
      <c r="A2" s="19" t="s">
        <v>25</v>
      </c>
      <c r="B2" s="19"/>
      <c r="C2" s="19"/>
      <c r="D2" s="19"/>
      <c r="G2" s="20" t="s">
        <v>26</v>
      </c>
      <c r="J2" s="21" t="s">
        <v>27</v>
      </c>
      <c r="K2" s="21"/>
      <c r="L2" s="21"/>
      <c r="M2" s="21"/>
      <c r="N2" s="22" t="s">
        <v>28</v>
      </c>
      <c r="O2" s="22"/>
      <c r="P2" s="22"/>
      <c r="Q2" s="21" t="s">
        <v>8</v>
      </c>
      <c r="V2" s="23" t="s">
        <v>29</v>
      </c>
      <c r="W2" s="23"/>
    </row>
    <row r="3" customFormat="false" ht="22.35" hidden="false" customHeight="false" outlineLevel="0" collapsed="false">
      <c r="A3" s="5" t="s">
        <v>30</v>
      </c>
      <c r="B3" s="5" t="s">
        <v>31</v>
      </c>
      <c r="C3" s="5" t="s">
        <v>32</v>
      </c>
      <c r="D3" s="24" t="s">
        <v>33</v>
      </c>
      <c r="E3" s="24" t="s">
        <v>34</v>
      </c>
      <c r="F3" s="5" t="s">
        <v>35</v>
      </c>
      <c r="G3" s="25" t="s">
        <v>36</v>
      </c>
      <c r="H3" s="26" t="s">
        <v>37</v>
      </c>
      <c r="I3" s="26" t="s">
        <v>38</v>
      </c>
      <c r="J3" s="26" t="s">
        <v>39</v>
      </c>
      <c r="K3" s="26" t="s">
        <v>40</v>
      </c>
      <c r="L3" s="26" t="s">
        <v>41</v>
      </c>
      <c r="M3" s="26" t="s">
        <v>42</v>
      </c>
      <c r="N3" s="26" t="s">
        <v>43</v>
      </c>
      <c r="O3" s="26" t="s">
        <v>44</v>
      </c>
      <c r="P3" s="26" t="s">
        <v>45</v>
      </c>
      <c r="Q3" s="27" t="s">
        <v>46</v>
      </c>
      <c r="R3" s="26" t="s">
        <v>47</v>
      </c>
      <c r="S3" s="26" t="s">
        <v>48</v>
      </c>
      <c r="V3" s="28" t="s">
        <v>49</v>
      </c>
      <c r="W3" s="26" t="s">
        <v>50</v>
      </c>
      <c r="X3" s="26" t="s">
        <v>51</v>
      </c>
    </row>
    <row r="4" customFormat="false" ht="21.75" hidden="false" customHeight="true" outlineLevel="0" collapsed="false">
      <c r="A4" s="29"/>
      <c r="B4" s="30" t="s">
        <v>22</v>
      </c>
      <c r="C4" s="30"/>
      <c r="D4" s="30"/>
      <c r="G4" s="14" t="n">
        <f aca="false">IFERROR(SUM(G6:G505),0)</f>
        <v>120680.536075</v>
      </c>
      <c r="H4" s="17" t="n">
        <f aca="false">IFERROR(SUM(H6:H505),0)</f>
        <v>190908.16</v>
      </c>
      <c r="I4" s="17" t="n">
        <f aca="false">IFERROR(SUM(I6:I505),0)</f>
        <v>70227.623925</v>
      </c>
      <c r="J4" s="17" t="n">
        <f aca="false">IFERROR(SUM(J6:J505),0)</f>
        <v>0</v>
      </c>
      <c r="K4" s="17" t="n">
        <f aca="false">IFERROR(SUM(K6:K505),0)</f>
        <v>0</v>
      </c>
      <c r="L4" s="17" t="n">
        <f aca="false">IFERROR(SUM(L6:L505),0)</f>
        <v>0</v>
      </c>
      <c r="Q4" s="15" t="n">
        <f aca="false">IFERROR(SUM(Q6:Q505),0)</f>
        <v>0</v>
      </c>
      <c r="V4" s="16" t="n">
        <f aca="false">IFERROR(SUM(V6:V505),0)</f>
        <v>190908.16</v>
      </c>
      <c r="W4" s="17" t="n">
        <f aca="false">IFERROR(SUM(W6:W505),0)</f>
        <v>120680.536075</v>
      </c>
      <c r="X4" s="17" t="n">
        <f aca="false">IFERROR(SUM(X6:X505),0)</f>
        <v>70227.623925</v>
      </c>
    </row>
    <row r="5" customFormat="false" ht="4.5" hidden="false" customHeight="true" outlineLevel="0" collapsed="false"/>
    <row r="6" customFormat="false" ht="18" hidden="false" customHeight="true" outlineLevel="0" collapsed="false">
      <c r="A6" s="31" t="str">
        <f aca="false">IF(AND(B6&lt;&gt;"",G6&gt;0,OR(G6&lt;500,G6&lt;Y6*0.05)),"⚠","")</f>
        <v/>
      </c>
      <c r="B6" s="32" t="s">
        <v>52</v>
      </c>
      <c r="C6" s="32"/>
      <c r="D6" s="33" t="s">
        <v>12</v>
      </c>
      <c r="E6" s="34"/>
      <c r="F6" s="35"/>
      <c r="G6" s="36" t="n">
        <v>19223.77</v>
      </c>
      <c r="H6" s="37" t="n">
        <v>21981.36</v>
      </c>
      <c r="I6" s="37" t="n">
        <v>2757.59</v>
      </c>
      <c r="J6" s="37"/>
      <c r="K6" s="37"/>
      <c r="L6" s="37"/>
      <c r="M6" s="38" t="str">
        <f aca="false">IF(OR(K6="",K6=0),"",IFERROR(MAX(0,K6-L6),0))</f>
        <v/>
      </c>
      <c r="N6" s="37"/>
      <c r="O6" s="37"/>
      <c r="P6" s="38" t="str">
        <f aca="false">IF(N6="","",IFERROR(N6-O6,0))</f>
        <v/>
      </c>
      <c r="Q6" s="39" t="n">
        <f aca="false">IF(B6="","",IFERROR(IF(U6&lt;&gt;"",U6,IF(T6=1,G6+IFERROR(J6,0)+IFERROR(M6,0)-IFERROR(P6,0),(G6+IFERROR(J6,0)+IFERROR(M6,0)-IFERROR(P6,0))*S6)),0))</f>
        <v>0</v>
      </c>
      <c r="R6" s="38" t="n">
        <f aca="false">IF(B6="","",IFERROR(G6+IFERROR(J6,0)+IFERROR(M6,0)-IFERROR(P6,0),0))</f>
        <v>0</v>
      </c>
      <c r="S6" s="40" t="n">
        <v>0</v>
      </c>
      <c r="V6" s="41" t="n">
        <f aca="false">IF(B6="","",IFERROR(H6+IFERROR(J6,0)-IFERROR(N6,0),0))</f>
        <v>21981.36</v>
      </c>
      <c r="W6" s="42" t="n">
        <f aca="false">IF(B6="","",IFERROR(V6-X6,0))</f>
        <v>19223.77</v>
      </c>
      <c r="X6" s="38" t="n">
        <f aca="false">IF(B6="","",IFERROR(I6+Q6-IFERROR(O6,0),0))</f>
        <v>2757.59</v>
      </c>
      <c r="Y6" s="0" t="n">
        <v>21981.36</v>
      </c>
    </row>
    <row r="7" customFormat="false" ht="18" hidden="false" customHeight="true" outlineLevel="0" collapsed="false">
      <c r="A7" s="31" t="str">
        <f aca="false">IF(AND(B7&lt;&gt;"",G7&gt;0,OR(G7&lt;500,G7&lt;Y7*0.05)),"⚠","")</f>
        <v/>
      </c>
      <c r="B7" s="32" t="s">
        <v>53</v>
      </c>
      <c r="C7" s="32"/>
      <c r="D7" s="33" t="s">
        <v>13</v>
      </c>
      <c r="E7" s="34"/>
      <c r="F7" s="35"/>
      <c r="G7" s="36"/>
      <c r="H7" s="37"/>
      <c r="I7" s="37"/>
      <c r="J7" s="37"/>
      <c r="K7" s="37"/>
      <c r="L7" s="37"/>
      <c r="M7" s="38" t="str">
        <f aca="false">IF(OR(K7="",K7=0),"",IFERROR(MAX(0,K7-L7),0))</f>
        <v/>
      </c>
      <c r="N7" s="37"/>
      <c r="O7" s="37"/>
      <c r="P7" s="38" t="str">
        <f aca="false">IF(N7="","",IFERROR(N7-O7,0))</f>
        <v/>
      </c>
      <c r="Q7" s="39" t="n">
        <f aca="false">IF(B7="","",IFERROR(IF(U7&lt;&gt;"",U7,IF(T7=1,G7+IFERROR(J7,0)+IFERROR(M7,0)-IFERROR(P7,0),(G7+IFERROR(J7,0)+IFERROR(M7,0)-IFERROR(P7,0))*S7)),0))</f>
        <v>0</v>
      </c>
      <c r="R7" s="38" t="n">
        <f aca="false">IF(B7="","",IFERROR(G7+IFERROR(J7,0)+IFERROR(M7,0)-IFERROR(P7,0),0))</f>
        <v>0</v>
      </c>
      <c r="S7" s="40" t="n">
        <v>0</v>
      </c>
      <c r="V7" s="41" t="n">
        <f aca="false">IF(B7="","",IFERROR(H7+IFERROR(J7,0)-IFERROR(N7,0),0))</f>
        <v>0</v>
      </c>
      <c r="W7" s="42" t="n">
        <f aca="false">IF(B7="","",IFERROR(V7-X7,0))</f>
        <v>0</v>
      </c>
      <c r="X7" s="38" t="n">
        <f aca="false">IF(B7="","",IFERROR(I7+Q7-IFERROR(O7,0),0))</f>
        <v>0</v>
      </c>
      <c r="Y7" s="0" t="n">
        <v>0</v>
      </c>
    </row>
    <row r="8" customFormat="false" ht="18" hidden="false" customHeight="true" outlineLevel="0" collapsed="false">
      <c r="A8" s="31" t="str">
        <f aca="false">IF(AND(B8&lt;&gt;"",G8&gt;0,OR(G8&lt;500,G8&lt;Y8*0.05)),"⚠","")</f>
        <v/>
      </c>
      <c r="B8" s="32" t="s">
        <v>54</v>
      </c>
      <c r="C8" s="32"/>
      <c r="D8" s="33" t="s">
        <v>14</v>
      </c>
      <c r="E8" s="34"/>
      <c r="F8" s="35"/>
      <c r="G8" s="36"/>
      <c r="H8" s="37"/>
      <c r="I8" s="37"/>
      <c r="J8" s="37"/>
      <c r="K8" s="37"/>
      <c r="L8" s="37"/>
      <c r="M8" s="38" t="str">
        <f aca="false">IF(OR(K8="",K8=0),"",IFERROR(MAX(0,K8-L8),0))</f>
        <v/>
      </c>
      <c r="N8" s="37"/>
      <c r="O8" s="37"/>
      <c r="P8" s="38" t="str">
        <f aca="false">IF(N8="","",IFERROR(N8-O8,0))</f>
        <v/>
      </c>
      <c r="Q8" s="39" t="n">
        <f aca="false">IF(B8="","",IFERROR(IF(U8&lt;&gt;"",U8,IF(T8=1,G8+IFERROR(J8,0)+IFERROR(M8,0)-IFERROR(P8,0),(G8+IFERROR(J8,0)+IFERROR(M8,0)-IFERROR(P8,0))*S8)),0))</f>
        <v>0</v>
      </c>
      <c r="R8" s="38" t="n">
        <f aca="false">IF(B8="","",IFERROR(G8+IFERROR(J8,0)+IFERROR(M8,0)-IFERROR(P8,0),0))</f>
        <v>0</v>
      </c>
      <c r="S8" s="40" t="n">
        <v>0</v>
      </c>
      <c r="V8" s="41" t="n">
        <f aca="false">IF(B8="","",IFERROR(H8+IFERROR(J8,0)-IFERROR(N8,0),0))</f>
        <v>0</v>
      </c>
      <c r="W8" s="42" t="n">
        <f aca="false">IF(B8="","",IFERROR(V8-X8,0))</f>
        <v>0</v>
      </c>
      <c r="X8" s="38" t="n">
        <f aca="false">IF(B8="","",IFERROR(I8+Q8-IFERROR(O8,0),0))</f>
        <v>0</v>
      </c>
      <c r="Y8" s="0" t="n">
        <v>0</v>
      </c>
    </row>
    <row r="9" customFormat="false" ht="18" hidden="false" customHeight="true" outlineLevel="0" collapsed="false">
      <c r="A9" s="31" t="str">
        <f aca="false">IF(AND(B9&lt;&gt;"",G9&gt;0,OR(G9&lt;500,G9&lt;Y9*0.05)),"⚠","")</f>
        <v/>
      </c>
      <c r="B9" s="32" t="s">
        <v>55</v>
      </c>
      <c r="C9" s="32"/>
      <c r="D9" s="33" t="s">
        <v>15</v>
      </c>
      <c r="E9" s="34"/>
      <c r="F9" s="35"/>
      <c r="G9" s="36"/>
      <c r="H9" s="37"/>
      <c r="I9" s="37"/>
      <c r="J9" s="37"/>
      <c r="K9" s="37"/>
      <c r="L9" s="37"/>
      <c r="M9" s="38" t="str">
        <f aca="false">IF(OR(K9="",K9=0),"",IFERROR(MAX(0,K9-L9),0))</f>
        <v/>
      </c>
      <c r="N9" s="37"/>
      <c r="O9" s="37"/>
      <c r="P9" s="38" t="str">
        <f aca="false">IF(N9="","",IFERROR(N9-O9,0))</f>
        <v/>
      </c>
      <c r="Q9" s="39" t="n">
        <f aca="false">IF(B9="","",IFERROR(IF(U9&lt;&gt;"",U9,IF(T9=1,G9+IFERROR(J9,0)+IFERROR(M9,0)-IFERROR(P9,0),(G9+IFERROR(J9,0)+IFERROR(M9,0)-IFERROR(P9,0))*S9)),0))</f>
        <v>0</v>
      </c>
      <c r="R9" s="38" t="n">
        <f aca="false">IF(B9="","",IFERROR(G9+IFERROR(J9,0)+IFERROR(M9,0)-IFERROR(P9,0),0))</f>
        <v>0</v>
      </c>
      <c r="S9" s="40" t="n">
        <v>0</v>
      </c>
      <c r="V9" s="41" t="n">
        <f aca="false">IF(B9="","",IFERROR(H9+IFERROR(J9,0)-IFERROR(N9,0),0))</f>
        <v>0</v>
      </c>
      <c r="W9" s="42" t="n">
        <f aca="false">IF(B9="","",IFERROR(V9-X9,0))</f>
        <v>0</v>
      </c>
      <c r="X9" s="38" t="n">
        <f aca="false">IF(B9="","",IFERROR(I9+Q9-IFERROR(O9,0),0))</f>
        <v>0</v>
      </c>
      <c r="Y9" s="0" t="n">
        <v>0</v>
      </c>
    </row>
    <row r="10" customFormat="false" ht="18" hidden="false" customHeight="true" outlineLevel="0" collapsed="false">
      <c r="A10" s="31" t="str">
        <f aca="false">IF(AND(B10&lt;&gt;"",G10&gt;0,OR(G10&lt;500,G10&lt;Y10*0.05)),"⚠","")</f>
        <v/>
      </c>
      <c r="B10" s="32" t="s">
        <v>56</v>
      </c>
      <c r="C10" s="32"/>
      <c r="D10" s="33" t="s">
        <v>16</v>
      </c>
      <c r="E10" s="34"/>
      <c r="F10" s="35"/>
      <c r="G10" s="36" t="n">
        <v>35486.0584375</v>
      </c>
      <c r="H10" s="37" t="n">
        <v>57544.21</v>
      </c>
      <c r="I10" s="37" t="n">
        <v>22058.1515625</v>
      </c>
      <c r="J10" s="37"/>
      <c r="K10" s="37"/>
      <c r="L10" s="37"/>
      <c r="M10" s="38" t="str">
        <f aca="false">IF(OR(K10="",K10=0),"",IFERROR(MAX(0,K10-L10),0))</f>
        <v/>
      </c>
      <c r="N10" s="37"/>
      <c r="O10" s="37"/>
      <c r="P10" s="38" t="str">
        <f aca="false">IF(N10="","",IFERROR(N10-O10,0))</f>
        <v/>
      </c>
      <c r="Q10" s="39" t="n">
        <f aca="false">IF(B10="","",IFERROR(IF(U10&lt;&gt;"",U10,IF(T10=1,G10+IFERROR(J10,0)+IFERROR(M10,0)-IFERROR(P10,0),(G10+IFERROR(J10,0)+IFERROR(M10,0)-IFERROR(P10,0))*S10)),0))</f>
        <v>0</v>
      </c>
      <c r="R10" s="38" t="n">
        <f aca="false">IF(B10="","",IFERROR(G10+IFERROR(J10,0)+IFERROR(M10,0)-IFERROR(P10,0),0))</f>
        <v>0</v>
      </c>
      <c r="S10" s="40" t="n">
        <v>0</v>
      </c>
      <c r="V10" s="41" t="n">
        <f aca="false">IF(B10="","",IFERROR(H10+IFERROR(J10,0)-IFERROR(N10,0),0))</f>
        <v>57544.21</v>
      </c>
      <c r="W10" s="42" t="n">
        <f aca="false">IF(B10="","",IFERROR(V10-X10,0))</f>
        <v>35486.0584375</v>
      </c>
      <c r="X10" s="38" t="n">
        <f aca="false">IF(B10="","",IFERROR(I10+Q10-IFERROR(O10,0),0))</f>
        <v>22058.1515625</v>
      </c>
      <c r="Y10" s="0" t="n">
        <v>57544.21</v>
      </c>
    </row>
    <row r="11" customFormat="false" ht="18" hidden="false" customHeight="true" outlineLevel="0" collapsed="false">
      <c r="A11" s="31" t="str">
        <f aca="false">IF(AND(B11&lt;&gt;"",G11&gt;0,OR(G11&lt;500,G11&lt;Y11*0.05)),"⚠","")</f>
        <v/>
      </c>
      <c r="B11" s="32" t="s">
        <v>57</v>
      </c>
      <c r="C11" s="32"/>
      <c r="D11" s="33" t="s">
        <v>17</v>
      </c>
      <c r="E11" s="34"/>
      <c r="F11" s="35"/>
      <c r="G11" s="36" t="n">
        <v>5630.4396</v>
      </c>
      <c r="H11" s="37" t="n">
        <v>15928.51</v>
      </c>
      <c r="I11" s="37" t="n">
        <v>10298.0704</v>
      </c>
      <c r="J11" s="37"/>
      <c r="K11" s="37"/>
      <c r="L11" s="37"/>
      <c r="M11" s="38" t="str">
        <f aca="false">IF(OR(K11="",K11=0),"",IFERROR(MAX(0,K11-L11),0))</f>
        <v/>
      </c>
      <c r="N11" s="37"/>
      <c r="O11" s="37"/>
      <c r="P11" s="38" t="str">
        <f aca="false">IF(N11="","",IFERROR(N11-O11,0))</f>
        <v/>
      </c>
      <c r="Q11" s="39" t="n">
        <f aca="false">IF(B11="","",IFERROR(IF(U11&lt;&gt;"",U11,IF(T11=1,G11+IFERROR(J11,0)+IFERROR(M11,0)-IFERROR(P11,0),(G11+IFERROR(J11,0)+IFERROR(M11,0)-IFERROR(P11,0))*S11)),0))</f>
        <v>0</v>
      </c>
      <c r="R11" s="38" t="n">
        <f aca="false">IF(B11="","",IFERROR(G11+IFERROR(J11,0)+IFERROR(M11,0)-IFERROR(P11,0),0))</f>
        <v>0</v>
      </c>
      <c r="S11" s="40" t="n">
        <v>0</v>
      </c>
      <c r="V11" s="41" t="n">
        <f aca="false">IF(B11="","",IFERROR(H11+IFERROR(J11,0)-IFERROR(N11,0),0))</f>
        <v>15928.51</v>
      </c>
      <c r="W11" s="42" t="n">
        <f aca="false">IF(B11="","",IFERROR(V11-X11,0))</f>
        <v>5630.4396</v>
      </c>
      <c r="X11" s="38" t="n">
        <f aca="false">IF(B11="","",IFERROR(I11+Q11-IFERROR(O11,0),0))</f>
        <v>10298.0704</v>
      </c>
      <c r="Y11" s="0" t="n">
        <v>15928.51</v>
      </c>
    </row>
    <row r="12" customFormat="false" ht="18" hidden="false" customHeight="true" outlineLevel="0" collapsed="false">
      <c r="A12" s="31" t="str">
        <f aca="false">IF(AND(B12&lt;&gt;"",G12&gt;0,OR(G12&lt;500,G12&lt;Y12*0.05)),"⚠","")</f>
        <v/>
      </c>
      <c r="B12" s="32" t="s">
        <v>58</v>
      </c>
      <c r="C12" s="32"/>
      <c r="D12" s="33" t="s">
        <v>18</v>
      </c>
      <c r="E12" s="34"/>
      <c r="F12" s="35"/>
      <c r="G12" s="36"/>
      <c r="H12" s="37"/>
      <c r="I12" s="37"/>
      <c r="J12" s="37"/>
      <c r="K12" s="37"/>
      <c r="L12" s="37"/>
      <c r="M12" s="38" t="str">
        <f aca="false">IF(OR(K12="",K12=0),"",IFERROR(MAX(0,K12-L12),0))</f>
        <v/>
      </c>
      <c r="N12" s="37"/>
      <c r="O12" s="37"/>
      <c r="P12" s="38" t="str">
        <f aca="false">IF(N12="","",IFERROR(N12-O12,0))</f>
        <v/>
      </c>
      <c r="Q12" s="39" t="n">
        <f aca="false">IF(B12="","",IFERROR(IF(U12&lt;&gt;"",U12,IF(T12=1,G12+IFERROR(J12,0)+IFERROR(M12,0)-IFERROR(P12,0),(G12+IFERROR(J12,0)+IFERROR(M12,0)-IFERROR(P12,0))*S12)),0))</f>
        <v>0</v>
      </c>
      <c r="R12" s="38" t="n">
        <f aca="false">IF(B12="","",IFERROR(G12+IFERROR(J12,0)+IFERROR(M12,0)-IFERROR(P12,0),0))</f>
        <v>0</v>
      </c>
      <c r="S12" s="40" t="n">
        <v>0</v>
      </c>
      <c r="V12" s="41" t="n">
        <f aca="false">IF(B12="","",IFERROR(H12+IFERROR(J12,0)-IFERROR(N12,0),0))</f>
        <v>0</v>
      </c>
      <c r="W12" s="42" t="n">
        <f aca="false">IF(B12="","",IFERROR(V12-X12,0))</f>
        <v>0</v>
      </c>
      <c r="X12" s="38" t="n">
        <f aca="false">IF(B12="","",IFERROR(I12+Q12-IFERROR(O12,0),0))</f>
        <v>0</v>
      </c>
      <c r="Y12" s="0" t="n">
        <v>0</v>
      </c>
    </row>
    <row r="13" customFormat="false" ht="18" hidden="false" customHeight="true" outlineLevel="0" collapsed="false">
      <c r="A13" s="31" t="str">
        <f aca="false">IF(AND(B13&lt;&gt;"",G13&gt;0,OR(G13&lt;500,G13&lt;Y13*0.05)),"⚠","")</f>
        <v/>
      </c>
      <c r="B13" s="32" t="s">
        <v>52</v>
      </c>
      <c r="C13" s="32"/>
      <c r="D13" s="33" t="s">
        <v>59</v>
      </c>
      <c r="E13" s="34" t="s">
        <v>60</v>
      </c>
      <c r="F13" s="43" t="n">
        <v>44562</v>
      </c>
      <c r="G13" s="36" t="n">
        <v>8782.77</v>
      </c>
      <c r="H13" s="37" t="n">
        <v>10919</v>
      </c>
      <c r="I13" s="37" t="n">
        <v>2136.23</v>
      </c>
      <c r="J13" s="37"/>
      <c r="K13" s="37"/>
      <c r="L13" s="37"/>
      <c r="M13" s="38" t="str">
        <f aca="false">IF(OR(K13="",K13=0),"",IFERROR(MAX(0,K13-L13),0))</f>
        <v/>
      </c>
      <c r="N13" s="37"/>
      <c r="O13" s="37"/>
      <c r="P13" s="38" t="str">
        <f aca="false">IF(N13="","",IFERROR(N13-O13,0))</f>
        <v/>
      </c>
      <c r="Q13" s="39" t="n">
        <f aca="false">IF(B13="","",IFERROR(IF(U13&lt;&gt;"",U13,IF(T13=1,G13+IFERROR(J13,0)+IFERROR(M13,0)-IFERROR(P13,0),(G13+IFERROR(J13,0)+IFERROR(M13,0)-IFERROR(P13,0))*S13)),0))</f>
        <v>0</v>
      </c>
      <c r="R13" s="38" t="n">
        <f aca="false">IF(B13="","",IFERROR(G13+IFERROR(J13,0)+IFERROR(M13,0)-IFERROR(P13,0),0))</f>
        <v>0</v>
      </c>
      <c r="S13" s="40" t="n">
        <v>0.07</v>
      </c>
      <c r="V13" s="41" t="n">
        <f aca="false">IF(B13="","",IFERROR(H13+IFERROR(J13,0)-IFERROR(N13,0),0))</f>
        <v>10919</v>
      </c>
      <c r="W13" s="42" t="n">
        <f aca="false">IF(B13="","",IFERROR(V13-X13,0))</f>
        <v>8782.77</v>
      </c>
      <c r="X13" s="38" t="n">
        <f aca="false">IF(B13="","",IFERROR(I13+Q13-IFERROR(O13,0),0))</f>
        <v>2136.23</v>
      </c>
      <c r="Y13" s="0" t="n">
        <v>10919</v>
      </c>
    </row>
    <row r="14" customFormat="false" ht="18" hidden="false" customHeight="true" outlineLevel="0" collapsed="false">
      <c r="A14" s="31" t="str">
        <f aca="false">IF(AND(B14&lt;&gt;"",G14&gt;0,OR(G14&lt;500,G14&lt;Y14*0.05)),"⚠","")</f>
        <v/>
      </c>
      <c r="B14" s="32" t="s">
        <v>57</v>
      </c>
      <c r="C14" s="32"/>
      <c r="D14" s="33" t="s">
        <v>61</v>
      </c>
      <c r="E14" s="34" t="s">
        <v>60</v>
      </c>
      <c r="F14" s="43" t="n">
        <v>44562</v>
      </c>
      <c r="G14" s="36"/>
      <c r="H14" s="37" t="n">
        <v>706</v>
      </c>
      <c r="I14" s="37" t="n">
        <v>706</v>
      </c>
      <c r="J14" s="37"/>
      <c r="K14" s="37"/>
      <c r="L14" s="37"/>
      <c r="M14" s="38" t="str">
        <f aca="false">IF(OR(K14="",K14=0),"",IFERROR(MAX(0,K14-L14),0))</f>
        <v/>
      </c>
      <c r="N14" s="37"/>
      <c r="O14" s="37"/>
      <c r="P14" s="38" t="str">
        <f aca="false">IF(N14="","",IFERROR(N14-O14,0))</f>
        <v/>
      </c>
      <c r="Q14" s="39" t="n">
        <f aca="false">IF(B14="","",IFERROR(IF(U14&lt;&gt;"",U14,IF(T14=1,G14+IFERROR(J14,0)+IFERROR(M14,0)-IFERROR(P14,0),(G14+IFERROR(J14,0)+IFERROR(M14,0)-IFERROR(P14,0))*S14)),0))</f>
        <v>0</v>
      </c>
      <c r="R14" s="38" t="n">
        <f aca="false">IF(B14="","",IFERROR(G14+IFERROR(J14,0)+IFERROR(M14,0)-IFERROR(P14,0),0))</f>
        <v>0</v>
      </c>
      <c r="S14" s="40" t="n">
        <v>1</v>
      </c>
      <c r="T14" s="0" t="n">
        <v>1</v>
      </c>
      <c r="V14" s="41" t="n">
        <f aca="false">IF(B14="","",IFERROR(H14+IFERROR(J14,0)-IFERROR(N14,0),0))</f>
        <v>706</v>
      </c>
      <c r="W14" s="42" t="n">
        <f aca="false">IF(B14="","",IFERROR(V14-X14,0))</f>
        <v>0</v>
      </c>
      <c r="X14" s="38" t="n">
        <f aca="false">IF(B14="","",IFERROR(I14+Q14-IFERROR(O14,0),0))</f>
        <v>706</v>
      </c>
      <c r="Y14" s="0" t="n">
        <v>706</v>
      </c>
    </row>
    <row r="15" customFormat="false" ht="18" hidden="false" customHeight="true" outlineLevel="0" collapsed="false">
      <c r="A15" s="31" t="str">
        <f aca="false">IF(AND(B15&lt;&gt;"",G15&gt;0,OR(G15&lt;500,G15&lt;Y15*0.05)),"⚠","")</f>
        <v/>
      </c>
      <c r="B15" s="32" t="s">
        <v>57</v>
      </c>
      <c r="C15" s="32"/>
      <c r="D15" s="33" t="s">
        <v>62</v>
      </c>
      <c r="E15" s="34" t="s">
        <v>63</v>
      </c>
      <c r="F15" s="43" t="n">
        <v>44562</v>
      </c>
      <c r="G15" s="36"/>
      <c r="H15" s="37" t="n">
        <v>689</v>
      </c>
      <c r="I15" s="37" t="n">
        <v>689</v>
      </c>
      <c r="J15" s="37"/>
      <c r="K15" s="37"/>
      <c r="L15" s="37"/>
      <c r="M15" s="38" t="str">
        <f aca="false">IF(OR(K15="",K15=0),"",IFERROR(MAX(0,K15-L15),0))</f>
        <v/>
      </c>
      <c r="N15" s="37"/>
      <c r="O15" s="37"/>
      <c r="P15" s="38" t="str">
        <f aca="false">IF(N15="","",IFERROR(N15-O15,0))</f>
        <v/>
      </c>
      <c r="Q15" s="39" t="n">
        <f aca="false">IF(B15="","",IFERROR(IF(U15&lt;&gt;"",U15,IF(T15=1,G15+IFERROR(J15,0)+IFERROR(M15,0)-IFERROR(P15,0),(G15+IFERROR(J15,0)+IFERROR(M15,0)-IFERROR(P15,0))*S15)),0))</f>
        <v>0</v>
      </c>
      <c r="R15" s="38" t="n">
        <f aca="false">IF(B15="","",IFERROR(G15+IFERROR(J15,0)+IFERROR(M15,0)-IFERROR(P15,0),0))</f>
        <v>0</v>
      </c>
      <c r="S15" s="40" t="n">
        <v>1</v>
      </c>
      <c r="T15" s="0" t="n">
        <v>1</v>
      </c>
      <c r="V15" s="41" t="n">
        <f aca="false">IF(B15="","",IFERROR(H15+IFERROR(J15,0)-IFERROR(N15,0),0))</f>
        <v>689</v>
      </c>
      <c r="W15" s="42" t="n">
        <f aca="false">IF(B15="","",IFERROR(V15-X15,0))</f>
        <v>0</v>
      </c>
      <c r="X15" s="38" t="n">
        <f aca="false">IF(B15="","",IFERROR(I15+Q15-IFERROR(O15,0),0))</f>
        <v>689</v>
      </c>
      <c r="Y15" s="0" t="n">
        <v>689</v>
      </c>
    </row>
    <row r="16" customFormat="false" ht="18" hidden="false" customHeight="true" outlineLevel="0" collapsed="false">
      <c r="A16" s="31" t="str">
        <f aca="false">IF(AND(B16&lt;&gt;"",G16&gt;0,OR(G16&lt;500,G16&lt;Y16*0.05)),"⚠","")</f>
        <v/>
      </c>
      <c r="B16" s="32" t="s">
        <v>57</v>
      </c>
      <c r="C16" s="32"/>
      <c r="D16" s="33" t="s">
        <v>62</v>
      </c>
      <c r="E16" s="34" t="s">
        <v>63</v>
      </c>
      <c r="F16" s="43" t="n">
        <v>44562</v>
      </c>
      <c r="G16" s="36"/>
      <c r="H16" s="37" t="n">
        <v>689</v>
      </c>
      <c r="I16" s="37" t="n">
        <v>689</v>
      </c>
      <c r="J16" s="37"/>
      <c r="K16" s="37"/>
      <c r="L16" s="37"/>
      <c r="M16" s="38" t="str">
        <f aca="false">IF(OR(K16="",K16=0),"",IFERROR(MAX(0,K16-L16),0))</f>
        <v/>
      </c>
      <c r="N16" s="37"/>
      <c r="O16" s="37"/>
      <c r="P16" s="38" t="str">
        <f aca="false">IF(N16="","",IFERROR(N16-O16,0))</f>
        <v/>
      </c>
      <c r="Q16" s="39" t="n">
        <f aca="false">IF(B16="","",IFERROR(IF(U16&lt;&gt;"",U16,IF(T16=1,G16+IFERROR(J16,0)+IFERROR(M16,0)-IFERROR(P16,0),(G16+IFERROR(J16,0)+IFERROR(M16,0)-IFERROR(P16,0))*S16)),0))</f>
        <v>0</v>
      </c>
      <c r="R16" s="38" t="n">
        <f aca="false">IF(B16="","",IFERROR(G16+IFERROR(J16,0)+IFERROR(M16,0)-IFERROR(P16,0),0))</f>
        <v>0</v>
      </c>
      <c r="S16" s="40" t="n">
        <v>1</v>
      </c>
      <c r="T16" s="0" t="n">
        <v>1</v>
      </c>
      <c r="V16" s="41" t="n">
        <f aca="false">IF(B16="","",IFERROR(H16+IFERROR(J16,0)-IFERROR(N16,0),0))</f>
        <v>689</v>
      </c>
      <c r="W16" s="42" t="n">
        <f aca="false">IF(B16="","",IFERROR(V16-X16,0))</f>
        <v>0</v>
      </c>
      <c r="X16" s="38" t="n">
        <f aca="false">IF(B16="","",IFERROR(I16+Q16-IFERROR(O16,0),0))</f>
        <v>689</v>
      </c>
      <c r="Y16" s="0" t="n">
        <v>689</v>
      </c>
    </row>
    <row r="17" customFormat="false" ht="18" hidden="false" customHeight="true" outlineLevel="0" collapsed="false">
      <c r="A17" s="31" t="str">
        <f aca="false">IF(AND(B17&lt;&gt;"",G17&gt;0,OR(G17&lt;500,G17&lt;Y17*0.05)),"⚠","")</f>
        <v/>
      </c>
      <c r="B17" s="32" t="s">
        <v>57</v>
      </c>
      <c r="C17" s="32"/>
      <c r="D17" s="33" t="s">
        <v>62</v>
      </c>
      <c r="E17" s="34" t="s">
        <v>63</v>
      </c>
      <c r="F17" s="43" t="n">
        <v>44562</v>
      </c>
      <c r="G17" s="36"/>
      <c r="H17" s="37" t="n">
        <v>689</v>
      </c>
      <c r="I17" s="37" t="n">
        <v>689</v>
      </c>
      <c r="J17" s="37"/>
      <c r="K17" s="37"/>
      <c r="L17" s="37"/>
      <c r="M17" s="38" t="str">
        <f aca="false">IF(OR(K17="",K17=0),"",IFERROR(MAX(0,K17-L17),0))</f>
        <v/>
      </c>
      <c r="N17" s="37"/>
      <c r="O17" s="37"/>
      <c r="P17" s="38" t="str">
        <f aca="false">IF(N17="","",IFERROR(N17-O17,0))</f>
        <v/>
      </c>
      <c r="Q17" s="39" t="n">
        <f aca="false">IF(B17="","",IFERROR(IF(U17&lt;&gt;"",U17,IF(T17=1,G17+IFERROR(J17,0)+IFERROR(M17,0)-IFERROR(P17,0),(G17+IFERROR(J17,0)+IFERROR(M17,0)-IFERROR(P17,0))*S17)),0))</f>
        <v>0</v>
      </c>
      <c r="R17" s="38" t="n">
        <f aca="false">IF(B17="","",IFERROR(G17+IFERROR(J17,0)+IFERROR(M17,0)-IFERROR(P17,0),0))</f>
        <v>0</v>
      </c>
      <c r="S17" s="40" t="n">
        <v>1</v>
      </c>
      <c r="T17" s="0" t="n">
        <v>1</v>
      </c>
      <c r="V17" s="41" t="n">
        <f aca="false">IF(B17="","",IFERROR(H17+IFERROR(J17,0)-IFERROR(N17,0),0))</f>
        <v>689</v>
      </c>
      <c r="W17" s="42" t="n">
        <f aca="false">IF(B17="","",IFERROR(V17-X17,0))</f>
        <v>0</v>
      </c>
      <c r="X17" s="38" t="n">
        <f aca="false">IF(B17="","",IFERROR(I17+Q17-IFERROR(O17,0),0))</f>
        <v>689</v>
      </c>
      <c r="Y17" s="0" t="n">
        <v>689</v>
      </c>
    </row>
    <row r="18" customFormat="false" ht="18" hidden="false" customHeight="true" outlineLevel="0" collapsed="false">
      <c r="A18" s="31" t="str">
        <f aca="false">IF(AND(B18&lt;&gt;"",G18&gt;0,OR(G18&lt;500,G18&lt;Y18*0.05)),"⚠","")</f>
        <v/>
      </c>
      <c r="B18" s="32" t="s">
        <v>57</v>
      </c>
      <c r="C18" s="32"/>
      <c r="D18" s="33" t="s">
        <v>62</v>
      </c>
      <c r="E18" s="34" t="s">
        <v>63</v>
      </c>
      <c r="F18" s="43" t="n">
        <v>44562</v>
      </c>
      <c r="G18" s="36"/>
      <c r="H18" s="37" t="n">
        <v>689</v>
      </c>
      <c r="I18" s="37" t="n">
        <v>689</v>
      </c>
      <c r="J18" s="37"/>
      <c r="K18" s="37"/>
      <c r="L18" s="37"/>
      <c r="M18" s="38" t="str">
        <f aca="false">IF(OR(K18="",K18=0),"",IFERROR(MAX(0,K18-L18),0))</f>
        <v/>
      </c>
      <c r="N18" s="37"/>
      <c r="O18" s="37"/>
      <c r="P18" s="38" t="str">
        <f aca="false">IF(N18="","",IFERROR(N18-O18,0))</f>
        <v/>
      </c>
      <c r="Q18" s="39" t="n">
        <f aca="false">IF(B18="","",IFERROR(IF(U18&lt;&gt;"",U18,IF(T18=1,G18+IFERROR(J18,0)+IFERROR(M18,0)-IFERROR(P18,0),(G18+IFERROR(J18,0)+IFERROR(M18,0)-IFERROR(P18,0))*S18)),0))</f>
        <v>0</v>
      </c>
      <c r="R18" s="38" t="n">
        <f aca="false">IF(B18="","",IFERROR(G18+IFERROR(J18,0)+IFERROR(M18,0)-IFERROR(P18,0),0))</f>
        <v>0</v>
      </c>
      <c r="S18" s="40" t="n">
        <v>1</v>
      </c>
      <c r="T18" s="0" t="n">
        <v>1</v>
      </c>
      <c r="V18" s="41" t="n">
        <f aca="false">IF(B18="","",IFERROR(H18+IFERROR(J18,0)-IFERROR(N18,0),0))</f>
        <v>689</v>
      </c>
      <c r="W18" s="42" t="n">
        <f aca="false">IF(B18="","",IFERROR(V18-X18,0))</f>
        <v>0</v>
      </c>
      <c r="X18" s="38" t="n">
        <f aca="false">IF(B18="","",IFERROR(I18+Q18-IFERROR(O18,0),0))</f>
        <v>689</v>
      </c>
      <c r="Y18" s="0" t="n">
        <v>689</v>
      </c>
    </row>
    <row r="19" customFormat="false" ht="18" hidden="false" customHeight="true" outlineLevel="0" collapsed="false">
      <c r="A19" s="31" t="str">
        <f aca="false">IF(AND(B19&lt;&gt;"",G19&gt;0,OR(G19&lt;500,G19&lt;Y19*0.05)),"⚠","")</f>
        <v/>
      </c>
      <c r="B19" s="32" t="s">
        <v>57</v>
      </c>
      <c r="C19" s="32"/>
      <c r="D19" s="33" t="s">
        <v>64</v>
      </c>
      <c r="E19" s="34" t="s">
        <v>63</v>
      </c>
      <c r="F19" s="43" t="n">
        <v>44562</v>
      </c>
      <c r="G19" s="36" t="n">
        <v>1387.52</v>
      </c>
      <c r="H19" s="37" t="n">
        <v>2710</v>
      </c>
      <c r="I19" s="37" t="n">
        <v>1322.48</v>
      </c>
      <c r="J19" s="37"/>
      <c r="K19" s="37"/>
      <c r="L19" s="37"/>
      <c r="M19" s="38" t="str">
        <f aca="false">IF(OR(K19="",K19=0),"",IFERROR(MAX(0,K19-L19),0))</f>
        <v/>
      </c>
      <c r="N19" s="37"/>
      <c r="O19" s="37"/>
      <c r="P19" s="38" t="str">
        <f aca="false">IF(N19="","",IFERROR(N19-O19,0))</f>
        <v/>
      </c>
      <c r="Q19" s="39" t="n">
        <f aca="false">IF(B19="","",IFERROR(IF(U19&lt;&gt;"",U19,IF(T19=1,G19+IFERROR(J19,0)+IFERROR(M19,0)-IFERROR(P19,0),(G19+IFERROR(J19,0)+IFERROR(M19,0)-IFERROR(P19,0))*S19)),0))</f>
        <v>0</v>
      </c>
      <c r="R19" s="38" t="n">
        <f aca="false">IF(B19="","",IFERROR(G19+IFERROR(J19,0)+IFERROR(M19,0)-IFERROR(P19,0),0))</f>
        <v>0</v>
      </c>
      <c r="S19" s="40" t="n">
        <v>0.2</v>
      </c>
      <c r="V19" s="41" t="n">
        <f aca="false">IF(B19="","",IFERROR(H19+IFERROR(J19,0)-IFERROR(N19,0),0))</f>
        <v>2710</v>
      </c>
      <c r="W19" s="42" t="n">
        <f aca="false">IF(B19="","",IFERROR(V19-X19,0))</f>
        <v>1387.52</v>
      </c>
      <c r="X19" s="38" t="n">
        <f aca="false">IF(B19="","",IFERROR(I19+Q19-IFERROR(O19,0),0))</f>
        <v>1322.48</v>
      </c>
      <c r="Y19" s="0" t="n">
        <v>2710</v>
      </c>
    </row>
    <row r="20" customFormat="false" ht="18" hidden="false" customHeight="true" outlineLevel="0" collapsed="false">
      <c r="A20" s="31" t="str">
        <f aca="false">IF(AND(B20&lt;&gt;"",G20&gt;0,OR(G20&lt;500,G20&lt;Y20*0.05)),"⚠","")</f>
        <v/>
      </c>
      <c r="B20" s="32" t="s">
        <v>57</v>
      </c>
      <c r="C20" s="32"/>
      <c r="D20" s="33" t="s">
        <v>65</v>
      </c>
      <c r="E20" s="34" t="s">
        <v>66</v>
      </c>
      <c r="F20" s="43" t="n">
        <v>44562</v>
      </c>
      <c r="G20" s="36"/>
      <c r="H20" s="37" t="n">
        <v>680</v>
      </c>
      <c r="I20" s="37" t="n">
        <v>680</v>
      </c>
      <c r="J20" s="37"/>
      <c r="K20" s="37"/>
      <c r="L20" s="37"/>
      <c r="M20" s="38" t="str">
        <f aca="false">IF(OR(K20="",K20=0),"",IFERROR(MAX(0,K20-L20),0))</f>
        <v/>
      </c>
      <c r="N20" s="37"/>
      <c r="O20" s="37"/>
      <c r="P20" s="38" t="str">
        <f aca="false">IF(N20="","",IFERROR(N20-O20,0))</f>
        <v/>
      </c>
      <c r="Q20" s="39" t="n">
        <f aca="false">IF(B20="","",IFERROR(IF(U20&lt;&gt;"",U20,IF(T20=1,G20+IFERROR(J20,0)+IFERROR(M20,0)-IFERROR(P20,0),(G20+IFERROR(J20,0)+IFERROR(M20,0)-IFERROR(P20,0))*S20)),0))</f>
        <v>0</v>
      </c>
      <c r="R20" s="38" t="n">
        <f aca="false">IF(B20="","",IFERROR(G20+IFERROR(J20,0)+IFERROR(M20,0)-IFERROR(P20,0),0))</f>
        <v>0</v>
      </c>
      <c r="S20" s="40" t="n">
        <v>0.2</v>
      </c>
      <c r="V20" s="41" t="n">
        <f aca="false">IF(B20="","",IFERROR(H20+IFERROR(J20,0)-IFERROR(N20,0),0))</f>
        <v>680</v>
      </c>
      <c r="W20" s="42" t="n">
        <f aca="false">IF(B20="","",IFERROR(V20-X20,0))</f>
        <v>0</v>
      </c>
      <c r="X20" s="38" t="n">
        <f aca="false">IF(B20="","",IFERROR(I20+Q20-IFERROR(O20,0),0))</f>
        <v>680</v>
      </c>
      <c r="Y20" s="0" t="n">
        <v>680</v>
      </c>
    </row>
    <row r="21" customFormat="false" ht="18" hidden="false" customHeight="true" outlineLevel="0" collapsed="false">
      <c r="A21" s="31" t="str">
        <f aca="false">IF(AND(B21&lt;&gt;"",G21&gt;0,OR(G21&lt;500,G21&lt;Y21*0.05)),"⚠","")</f>
        <v/>
      </c>
      <c r="B21" s="32" t="s">
        <v>57</v>
      </c>
      <c r="C21" s="32"/>
      <c r="D21" s="33" t="s">
        <v>67</v>
      </c>
      <c r="E21" s="34" t="s">
        <v>68</v>
      </c>
      <c r="F21" s="43" t="n">
        <v>44562</v>
      </c>
      <c r="G21" s="36" t="n">
        <v>660.48</v>
      </c>
      <c r="H21" s="37" t="n">
        <v>1290</v>
      </c>
      <c r="I21" s="37" t="n">
        <v>629.52</v>
      </c>
      <c r="J21" s="37"/>
      <c r="K21" s="37"/>
      <c r="L21" s="37"/>
      <c r="M21" s="38" t="str">
        <f aca="false">IF(OR(K21="",K21=0),"",IFERROR(MAX(0,K21-L21),0))</f>
        <v/>
      </c>
      <c r="N21" s="37"/>
      <c r="O21" s="37"/>
      <c r="P21" s="38" t="str">
        <f aca="false">IF(N21="","",IFERROR(N21-O21,0))</f>
        <v/>
      </c>
      <c r="Q21" s="39" t="n">
        <f aca="false">IF(B21="","",IFERROR(IF(U21&lt;&gt;"",U21,IF(T21=1,G21+IFERROR(J21,0)+IFERROR(M21,0)-IFERROR(P21,0),(G21+IFERROR(J21,0)+IFERROR(M21,0)-IFERROR(P21,0))*S21)),0))</f>
        <v>0</v>
      </c>
      <c r="R21" s="38" t="n">
        <f aca="false">IF(B21="","",IFERROR(G21+IFERROR(J21,0)+IFERROR(M21,0)-IFERROR(P21,0),0))</f>
        <v>0</v>
      </c>
      <c r="S21" s="40" t="n">
        <v>0.2</v>
      </c>
      <c r="V21" s="41" t="n">
        <f aca="false">IF(B21="","",IFERROR(H21+IFERROR(J21,0)-IFERROR(N21,0),0))</f>
        <v>1290</v>
      </c>
      <c r="W21" s="42" t="n">
        <f aca="false">IF(B21="","",IFERROR(V21-X21,0))</f>
        <v>660.48</v>
      </c>
      <c r="X21" s="38" t="n">
        <f aca="false">IF(B21="","",IFERROR(I21+Q21-IFERROR(O21,0),0))</f>
        <v>629.52</v>
      </c>
      <c r="Y21" s="0" t="n">
        <v>1290</v>
      </c>
    </row>
    <row r="22" customFormat="false" ht="18" hidden="false" customHeight="true" outlineLevel="0" collapsed="false">
      <c r="A22" s="31" t="str">
        <f aca="false">IF(AND(B22&lt;&gt;"",G22&gt;0,OR(G22&lt;500,G22&lt;Y22*0.05)),"⚠","")</f>
        <v/>
      </c>
      <c r="B22" s="32" t="s">
        <v>57</v>
      </c>
      <c r="C22" s="32"/>
      <c r="D22" s="33" t="s">
        <v>69</v>
      </c>
      <c r="E22" s="34" t="s">
        <v>68</v>
      </c>
      <c r="F22" s="43" t="n">
        <v>44562</v>
      </c>
      <c r="G22" s="36"/>
      <c r="H22" s="37" t="n">
        <v>600</v>
      </c>
      <c r="I22" s="37" t="n">
        <v>600</v>
      </c>
      <c r="J22" s="37"/>
      <c r="K22" s="37"/>
      <c r="L22" s="37"/>
      <c r="M22" s="38" t="str">
        <f aca="false">IF(OR(K22="",K22=0),"",IFERROR(MAX(0,K22-L22),0))</f>
        <v/>
      </c>
      <c r="N22" s="37"/>
      <c r="O22" s="37"/>
      <c r="P22" s="38" t="str">
        <f aca="false">IF(N22="","",IFERROR(N22-O22,0))</f>
        <v/>
      </c>
      <c r="Q22" s="39" t="n">
        <f aca="false">IF(B22="","",IFERROR(IF(U22&lt;&gt;"",U22,IF(T22=1,G22+IFERROR(J22,0)+IFERROR(M22,0)-IFERROR(P22,0),(G22+IFERROR(J22,0)+IFERROR(M22,0)-IFERROR(P22,0))*S22)),0))</f>
        <v>0</v>
      </c>
      <c r="R22" s="38" t="n">
        <f aca="false">IF(B22="","",IFERROR(G22+IFERROR(J22,0)+IFERROR(M22,0)-IFERROR(P22,0),0))</f>
        <v>0</v>
      </c>
      <c r="S22" s="40" t="n">
        <v>1</v>
      </c>
      <c r="T22" s="0" t="n">
        <v>1</v>
      </c>
      <c r="V22" s="41" t="n">
        <f aca="false">IF(B22="","",IFERROR(H22+IFERROR(J22,0)-IFERROR(N22,0),0))</f>
        <v>600</v>
      </c>
      <c r="W22" s="42" t="n">
        <f aca="false">IF(B22="","",IFERROR(V22-X22,0))</f>
        <v>0</v>
      </c>
      <c r="X22" s="38" t="n">
        <f aca="false">IF(B22="","",IFERROR(I22+Q22-IFERROR(O22,0),0))</f>
        <v>600</v>
      </c>
      <c r="Y22" s="0" t="n">
        <v>600</v>
      </c>
    </row>
    <row r="23" customFormat="false" ht="18" hidden="false" customHeight="true" outlineLevel="0" collapsed="false">
      <c r="A23" s="31" t="str">
        <f aca="false">IF(AND(B23&lt;&gt;"",G23&gt;0,OR(G23&lt;500,G23&lt;Y23*0.05)),"⚠","")</f>
        <v/>
      </c>
      <c r="B23" s="32" t="s">
        <v>57</v>
      </c>
      <c r="C23" s="32"/>
      <c r="D23" s="33" t="s">
        <v>70</v>
      </c>
      <c r="E23" s="34" t="s">
        <v>68</v>
      </c>
      <c r="F23" s="43" t="n">
        <v>44562</v>
      </c>
      <c r="G23" s="36" t="n">
        <v>508.42</v>
      </c>
      <c r="H23" s="37" t="n">
        <v>993</v>
      </c>
      <c r="I23" s="37" t="n">
        <v>484.58</v>
      </c>
      <c r="J23" s="37"/>
      <c r="K23" s="37"/>
      <c r="L23" s="37"/>
      <c r="M23" s="38" t="str">
        <f aca="false">IF(OR(K23="",K23=0),"",IFERROR(MAX(0,K23-L23),0))</f>
        <v/>
      </c>
      <c r="N23" s="37"/>
      <c r="O23" s="37"/>
      <c r="P23" s="38" t="str">
        <f aca="false">IF(N23="","",IFERROR(N23-O23,0))</f>
        <v/>
      </c>
      <c r="Q23" s="39" t="n">
        <f aca="false">IF(B23="","",IFERROR(IF(U23&lt;&gt;"",U23,IF(T23=1,G23+IFERROR(J23,0)+IFERROR(M23,0)-IFERROR(P23,0),(G23+IFERROR(J23,0)+IFERROR(M23,0)-IFERROR(P23,0))*S23)),0))</f>
        <v>0</v>
      </c>
      <c r="R23" s="38" t="n">
        <f aca="false">IF(B23="","",IFERROR(G23+IFERROR(J23,0)+IFERROR(M23,0)-IFERROR(P23,0),0))</f>
        <v>0</v>
      </c>
      <c r="S23" s="40" t="n">
        <v>0.2</v>
      </c>
      <c r="V23" s="41" t="n">
        <f aca="false">IF(B23="","",IFERROR(H23+IFERROR(J23,0)-IFERROR(N23,0),0))</f>
        <v>993</v>
      </c>
      <c r="W23" s="42" t="n">
        <f aca="false">IF(B23="","",IFERROR(V23-X23,0))</f>
        <v>508.42</v>
      </c>
      <c r="X23" s="38" t="n">
        <f aca="false">IF(B23="","",IFERROR(I23+Q23-IFERROR(O23,0),0))</f>
        <v>484.58</v>
      </c>
      <c r="Y23" s="0" t="n">
        <v>993</v>
      </c>
    </row>
    <row r="24" customFormat="false" ht="18" hidden="false" customHeight="true" outlineLevel="0" collapsed="false">
      <c r="A24" s="31" t="str">
        <f aca="false">IF(AND(B24&lt;&gt;"",G24&gt;0,OR(G24&lt;500,G24&lt;Y24*0.05)),"⚠","")</f>
        <v/>
      </c>
      <c r="B24" s="32" t="s">
        <v>57</v>
      </c>
      <c r="C24" s="32"/>
      <c r="D24" s="33" t="s">
        <v>71</v>
      </c>
      <c r="E24" s="34" t="s">
        <v>68</v>
      </c>
      <c r="F24" s="43" t="n">
        <v>44562</v>
      </c>
      <c r="G24" s="36"/>
      <c r="H24" s="37" t="n">
        <v>550</v>
      </c>
      <c r="I24" s="37" t="n">
        <v>550</v>
      </c>
      <c r="J24" s="37"/>
      <c r="K24" s="37"/>
      <c r="L24" s="37"/>
      <c r="M24" s="38" t="str">
        <f aca="false">IF(OR(K24="",K24=0),"",IFERROR(MAX(0,K24-L24),0))</f>
        <v/>
      </c>
      <c r="N24" s="37"/>
      <c r="O24" s="37"/>
      <c r="P24" s="38" t="str">
        <f aca="false">IF(N24="","",IFERROR(N24-O24,0))</f>
        <v/>
      </c>
      <c r="Q24" s="39" t="n">
        <f aca="false">IF(B24="","",IFERROR(IF(U24&lt;&gt;"",U24,IF(T24=1,G24+IFERROR(J24,0)+IFERROR(M24,0)-IFERROR(P24,0),(G24+IFERROR(J24,0)+IFERROR(M24,0)-IFERROR(P24,0))*S24)),0))</f>
        <v>0</v>
      </c>
      <c r="R24" s="38" t="n">
        <f aca="false">IF(B24="","",IFERROR(G24+IFERROR(J24,0)+IFERROR(M24,0)-IFERROR(P24,0),0))</f>
        <v>0</v>
      </c>
      <c r="S24" s="40" t="n">
        <v>0.2</v>
      </c>
      <c r="V24" s="41" t="n">
        <f aca="false">IF(B24="","",IFERROR(H24+IFERROR(J24,0)-IFERROR(N24,0),0))</f>
        <v>550</v>
      </c>
      <c r="W24" s="42" t="n">
        <f aca="false">IF(B24="","",IFERROR(V24-X24,0))</f>
        <v>0</v>
      </c>
      <c r="X24" s="38" t="n">
        <f aca="false">IF(B24="","",IFERROR(I24+Q24-IFERROR(O24,0),0))</f>
        <v>550</v>
      </c>
      <c r="Y24" s="0" t="n">
        <v>550</v>
      </c>
    </row>
    <row r="25" customFormat="false" ht="18" hidden="false" customHeight="true" outlineLevel="0" collapsed="false">
      <c r="A25" s="31" t="str">
        <f aca="false">IF(AND(B25&lt;&gt;"",G25&gt;0,OR(G25&lt;500,G25&lt;Y25*0.05)),"⚠","")</f>
        <v/>
      </c>
      <c r="B25" s="32" t="s">
        <v>57</v>
      </c>
      <c r="C25" s="32"/>
      <c r="D25" s="33" t="s">
        <v>72</v>
      </c>
      <c r="E25" s="34" t="s">
        <v>68</v>
      </c>
      <c r="F25" s="43" t="n">
        <v>44562</v>
      </c>
      <c r="G25" s="36"/>
      <c r="H25" s="37" t="n">
        <v>757</v>
      </c>
      <c r="I25" s="37" t="n">
        <v>757</v>
      </c>
      <c r="J25" s="37"/>
      <c r="K25" s="37"/>
      <c r="L25" s="37"/>
      <c r="M25" s="38" t="str">
        <f aca="false">IF(OR(K25="",K25=0),"",IFERROR(MAX(0,K25-L25),0))</f>
        <v/>
      </c>
      <c r="N25" s="37"/>
      <c r="O25" s="37"/>
      <c r="P25" s="38" t="str">
        <f aca="false">IF(N25="","",IFERROR(N25-O25,0))</f>
        <v/>
      </c>
      <c r="Q25" s="39" t="n">
        <f aca="false">IF(B25="","",IFERROR(IF(U25&lt;&gt;"",U25,IF(T25=1,G25+IFERROR(J25,0)+IFERROR(M25,0)-IFERROR(P25,0),(G25+IFERROR(J25,0)+IFERROR(M25,0)-IFERROR(P25,0))*S25)),0))</f>
        <v>0</v>
      </c>
      <c r="R25" s="38" t="n">
        <f aca="false">IF(B25="","",IFERROR(G25+IFERROR(J25,0)+IFERROR(M25,0)-IFERROR(P25,0),0))</f>
        <v>0</v>
      </c>
      <c r="S25" s="40" t="n">
        <v>0.2</v>
      </c>
      <c r="V25" s="41" t="n">
        <f aca="false">IF(B25="","",IFERROR(H25+IFERROR(J25,0)-IFERROR(N25,0),0))</f>
        <v>757</v>
      </c>
      <c r="W25" s="42" t="n">
        <f aca="false">IF(B25="","",IFERROR(V25-X25,0))</f>
        <v>0</v>
      </c>
      <c r="X25" s="38" t="n">
        <f aca="false">IF(B25="","",IFERROR(I25+Q25-IFERROR(O25,0),0))</f>
        <v>757</v>
      </c>
      <c r="Y25" s="0" t="n">
        <v>757</v>
      </c>
    </row>
    <row r="26" customFormat="false" ht="18" hidden="false" customHeight="true" outlineLevel="0" collapsed="false">
      <c r="A26" s="31" t="str">
        <f aca="false">IF(AND(B26&lt;&gt;"",G26&gt;0,OR(G26&lt;500,G26&lt;Y26*0.05)),"⚠","")</f>
        <v/>
      </c>
      <c r="B26" s="32" t="s">
        <v>56</v>
      </c>
      <c r="C26" s="32"/>
      <c r="D26" s="33" t="s">
        <v>73</v>
      </c>
      <c r="E26" s="34" t="s">
        <v>74</v>
      </c>
      <c r="F26" s="43" t="n">
        <v>44562</v>
      </c>
      <c r="G26" s="36" t="n">
        <v>2992.1</v>
      </c>
      <c r="H26" s="37" t="n">
        <v>7092.4</v>
      </c>
      <c r="I26" s="37" t="n">
        <v>4100.3</v>
      </c>
      <c r="J26" s="37"/>
      <c r="K26" s="37"/>
      <c r="L26" s="37"/>
      <c r="M26" s="38" t="str">
        <f aca="false">IF(OR(K26="",K26=0),"",IFERROR(MAX(0,K26-L26),0))</f>
        <v/>
      </c>
      <c r="N26" s="37"/>
      <c r="O26" s="37"/>
      <c r="P26" s="38" t="str">
        <f aca="false">IF(N26="","",IFERROR(N26-O26,0))</f>
        <v/>
      </c>
      <c r="Q26" s="39" t="n">
        <f aca="false">IF(B26="","",IFERROR(IF(U26&lt;&gt;"",U26,IF(T26=1,G26+IFERROR(J26,0)+IFERROR(M26,0)-IFERROR(P26,0),(G26+IFERROR(J26,0)+IFERROR(M26,0)-IFERROR(P26,0))*S26)),0))</f>
        <v>0</v>
      </c>
      <c r="R26" s="38" t="n">
        <f aca="false">IF(B26="","",IFERROR(G26+IFERROR(J26,0)+IFERROR(M26,0)-IFERROR(P26,0),0))</f>
        <v>0</v>
      </c>
      <c r="S26" s="40" t="n">
        <v>0.25</v>
      </c>
      <c r="V26" s="41" t="n">
        <f aca="false">IF(B26="","",IFERROR(H26+IFERROR(J26,0)-IFERROR(N26,0),0))</f>
        <v>7092.4</v>
      </c>
      <c r="W26" s="42" t="n">
        <f aca="false">IF(B26="","",IFERROR(V26-X26,0))</f>
        <v>2992.1</v>
      </c>
      <c r="X26" s="38" t="n">
        <f aca="false">IF(B26="","",IFERROR(I26+Q26-IFERROR(O26,0),0))</f>
        <v>4100.3</v>
      </c>
      <c r="Y26" s="0" t="n">
        <v>7092.4</v>
      </c>
    </row>
    <row r="27" customFormat="false" ht="18" hidden="false" customHeight="true" outlineLevel="0" collapsed="false">
      <c r="A27" s="31" t="str">
        <f aca="false">IF(AND(B27&lt;&gt;"",G27&gt;0,OR(G27&lt;500,G27&lt;Y27*0.05)),"⚠","")</f>
        <v/>
      </c>
      <c r="B27" s="32" t="s">
        <v>56</v>
      </c>
      <c r="C27" s="32"/>
      <c r="D27" s="33" t="s">
        <v>75</v>
      </c>
      <c r="E27" s="34" t="s">
        <v>76</v>
      </c>
      <c r="F27" s="43" t="n">
        <v>44562</v>
      </c>
      <c r="G27" s="36" t="n">
        <v>1132.27</v>
      </c>
      <c r="H27" s="37" t="n">
        <v>2683.9</v>
      </c>
      <c r="I27" s="37" t="n">
        <v>1551.63</v>
      </c>
      <c r="J27" s="37"/>
      <c r="K27" s="37"/>
      <c r="L27" s="37"/>
      <c r="M27" s="38" t="str">
        <f aca="false">IF(OR(K27="",K27=0),"",IFERROR(MAX(0,K27-L27),0))</f>
        <v/>
      </c>
      <c r="N27" s="37"/>
      <c r="O27" s="37"/>
      <c r="P27" s="38" t="str">
        <f aca="false">IF(N27="","",IFERROR(N27-O27,0))</f>
        <v/>
      </c>
      <c r="Q27" s="39" t="n">
        <f aca="false">IF(B27="","",IFERROR(IF(U27&lt;&gt;"",U27,IF(T27=1,G27+IFERROR(J27,0)+IFERROR(M27,0)-IFERROR(P27,0),(G27+IFERROR(J27,0)+IFERROR(M27,0)-IFERROR(P27,0))*S27)),0))</f>
        <v>0</v>
      </c>
      <c r="R27" s="38" t="n">
        <f aca="false">IF(B27="","",IFERROR(G27+IFERROR(J27,0)+IFERROR(M27,0)-IFERROR(P27,0),0))</f>
        <v>0</v>
      </c>
      <c r="S27" s="40" t="n">
        <v>0.25</v>
      </c>
      <c r="V27" s="41" t="n">
        <f aca="false">IF(B27="","",IFERROR(H27+IFERROR(J27,0)-IFERROR(N27,0),0))</f>
        <v>2683.9</v>
      </c>
      <c r="W27" s="42" t="n">
        <f aca="false">IF(B27="","",IFERROR(V27-X27,0))</f>
        <v>1132.27</v>
      </c>
      <c r="X27" s="38" t="n">
        <f aca="false">IF(B27="","",IFERROR(I27+Q27-IFERROR(O27,0),0))</f>
        <v>1551.63</v>
      </c>
      <c r="Y27" s="0" t="n">
        <v>2683.9</v>
      </c>
    </row>
    <row r="28" customFormat="false" ht="18" hidden="false" customHeight="true" outlineLevel="0" collapsed="false">
      <c r="A28" s="31" t="str">
        <f aca="false">IF(AND(B28&lt;&gt;"",G28&gt;0,OR(G28&lt;500,G28&lt;Y28*0.05)),"⚠","")</f>
        <v/>
      </c>
      <c r="B28" s="32" t="s">
        <v>56</v>
      </c>
      <c r="C28" s="32"/>
      <c r="D28" s="33" t="s">
        <v>77</v>
      </c>
      <c r="E28" s="34" t="s">
        <v>76</v>
      </c>
      <c r="F28" s="43" t="n">
        <v>44562</v>
      </c>
      <c r="G28" s="36" t="n">
        <v>565.95</v>
      </c>
      <c r="H28" s="37" t="n">
        <v>1341.52</v>
      </c>
      <c r="I28" s="37" t="n">
        <v>775.57</v>
      </c>
      <c r="J28" s="37"/>
      <c r="K28" s="37"/>
      <c r="L28" s="37"/>
      <c r="M28" s="38" t="str">
        <f aca="false">IF(OR(K28="",K28=0),"",IFERROR(MAX(0,K28-L28),0))</f>
        <v/>
      </c>
      <c r="N28" s="37"/>
      <c r="O28" s="37"/>
      <c r="P28" s="38" t="str">
        <f aca="false">IF(N28="","",IFERROR(N28-O28,0))</f>
        <v/>
      </c>
      <c r="Q28" s="39" t="n">
        <f aca="false">IF(B28="","",IFERROR(IF(U28&lt;&gt;"",U28,IF(T28=1,G28+IFERROR(J28,0)+IFERROR(M28,0)-IFERROR(P28,0),(G28+IFERROR(J28,0)+IFERROR(M28,0)-IFERROR(P28,0))*S28)),0))</f>
        <v>0</v>
      </c>
      <c r="R28" s="38" t="n">
        <f aca="false">IF(B28="","",IFERROR(G28+IFERROR(J28,0)+IFERROR(M28,0)-IFERROR(P28,0),0))</f>
        <v>0</v>
      </c>
      <c r="S28" s="40" t="n">
        <v>0.25</v>
      </c>
      <c r="V28" s="41" t="n">
        <f aca="false">IF(B28="","",IFERROR(H28+IFERROR(J28,0)-IFERROR(N28,0),0))</f>
        <v>1341.52</v>
      </c>
      <c r="W28" s="42" t="n">
        <f aca="false">IF(B28="","",IFERROR(V28-X28,0))</f>
        <v>565.95</v>
      </c>
      <c r="X28" s="38" t="n">
        <f aca="false">IF(B28="","",IFERROR(I28+Q28-IFERROR(O28,0),0))</f>
        <v>775.57</v>
      </c>
      <c r="Y28" s="0" t="n">
        <v>1341.52</v>
      </c>
    </row>
    <row r="29" customFormat="false" ht="18" hidden="false" customHeight="true" outlineLevel="0" collapsed="false">
      <c r="A29" s="31" t="str">
        <f aca="false">IF(AND(B29&lt;&gt;"",G29&gt;0,OR(G29&lt;500,G29&lt;Y29*0.05)),"⚠","")</f>
        <v/>
      </c>
      <c r="B29" s="32" t="s">
        <v>56</v>
      </c>
      <c r="C29" s="32"/>
      <c r="D29" s="33" t="s">
        <v>78</v>
      </c>
      <c r="E29" s="34" t="s">
        <v>76</v>
      </c>
      <c r="F29" s="43" t="n">
        <v>44562</v>
      </c>
      <c r="G29" s="36" t="n">
        <v>648.9</v>
      </c>
      <c r="H29" s="37" t="n">
        <v>1538.14</v>
      </c>
      <c r="I29" s="37" t="n">
        <v>889.24</v>
      </c>
      <c r="J29" s="37"/>
      <c r="K29" s="37"/>
      <c r="L29" s="37"/>
      <c r="M29" s="38" t="str">
        <f aca="false">IF(OR(K29="",K29=0),"",IFERROR(MAX(0,K29-L29),0))</f>
        <v/>
      </c>
      <c r="N29" s="37"/>
      <c r="O29" s="37"/>
      <c r="P29" s="38" t="str">
        <f aca="false">IF(N29="","",IFERROR(N29-O29,0))</f>
        <v/>
      </c>
      <c r="Q29" s="39" t="n">
        <f aca="false">IF(B29="","",IFERROR(IF(U29&lt;&gt;"",U29,IF(T29=1,G29+IFERROR(J29,0)+IFERROR(M29,0)-IFERROR(P29,0),(G29+IFERROR(J29,0)+IFERROR(M29,0)-IFERROR(P29,0))*S29)),0))</f>
        <v>0</v>
      </c>
      <c r="R29" s="38" t="n">
        <f aca="false">IF(B29="","",IFERROR(G29+IFERROR(J29,0)+IFERROR(M29,0)-IFERROR(P29,0),0))</f>
        <v>0</v>
      </c>
      <c r="S29" s="40" t="n">
        <v>0.25</v>
      </c>
      <c r="V29" s="41" t="n">
        <f aca="false">IF(B29="","",IFERROR(H29+IFERROR(J29,0)-IFERROR(N29,0),0))</f>
        <v>1538.14</v>
      </c>
      <c r="W29" s="42" t="n">
        <f aca="false">IF(B29="","",IFERROR(V29-X29,0))</f>
        <v>648.9</v>
      </c>
      <c r="X29" s="38" t="n">
        <f aca="false">IF(B29="","",IFERROR(I29+Q29-IFERROR(O29,0),0))</f>
        <v>889.24</v>
      </c>
      <c r="Y29" s="0" t="n">
        <v>1538.14</v>
      </c>
    </row>
    <row r="30" customFormat="false" ht="18" hidden="false" customHeight="true" outlineLevel="0" collapsed="false">
      <c r="A30" s="31" t="str">
        <f aca="false">IF(AND(B30&lt;&gt;"",G30&gt;0,OR(G30&lt;500,G30&lt;Y30*0.05)),"⚠","")</f>
        <v/>
      </c>
      <c r="B30" s="32" t="s">
        <v>56</v>
      </c>
      <c r="C30" s="32"/>
      <c r="D30" s="33" t="s">
        <v>79</v>
      </c>
      <c r="E30" s="34" t="s">
        <v>80</v>
      </c>
      <c r="F30" s="43" t="n">
        <v>44562</v>
      </c>
      <c r="G30" s="36" t="n">
        <v>779.79375</v>
      </c>
      <c r="H30" s="37" t="n">
        <v>1848.4</v>
      </c>
      <c r="I30" s="37" t="n">
        <v>1068.60625</v>
      </c>
      <c r="J30" s="37"/>
      <c r="K30" s="37"/>
      <c r="L30" s="37"/>
      <c r="M30" s="38" t="str">
        <f aca="false">IF(OR(K30="",K30=0),"",IFERROR(MAX(0,K30-L30),0))</f>
        <v/>
      </c>
      <c r="N30" s="37"/>
      <c r="O30" s="37"/>
      <c r="P30" s="38" t="str">
        <f aca="false">IF(N30="","",IFERROR(N30-O30,0))</f>
        <v/>
      </c>
      <c r="Q30" s="39" t="n">
        <f aca="false">IF(B30="","",IFERROR(IF(U30&lt;&gt;"",U30,IF(T30=1,G30+IFERROR(J30,0)+IFERROR(M30,0)-IFERROR(P30,0),(G30+IFERROR(J30,0)+IFERROR(M30,0)-IFERROR(P30,0))*S30)),0))</f>
        <v>0</v>
      </c>
      <c r="R30" s="38" t="n">
        <f aca="false">IF(B30="","",IFERROR(G30+IFERROR(J30,0)+IFERROR(M30,0)-IFERROR(P30,0),0))</f>
        <v>0</v>
      </c>
      <c r="S30" s="40" t="n">
        <v>0.25</v>
      </c>
      <c r="V30" s="41" t="n">
        <f aca="false">IF(B30="","",IFERROR(H30+IFERROR(J30,0)-IFERROR(N30,0),0))</f>
        <v>1848.4</v>
      </c>
      <c r="W30" s="42" t="n">
        <f aca="false">IF(B30="","",IFERROR(V30-X30,0))</f>
        <v>779.79375</v>
      </c>
      <c r="X30" s="38" t="n">
        <f aca="false">IF(B30="","",IFERROR(I30+Q30-IFERROR(O30,0),0))</f>
        <v>1068.60625</v>
      </c>
      <c r="Y30" s="0" t="n">
        <v>1848.4</v>
      </c>
    </row>
    <row r="31" customFormat="false" ht="18" hidden="false" customHeight="true" outlineLevel="0" collapsed="false">
      <c r="A31" s="31" t="str">
        <f aca="false">IF(AND(B31&lt;&gt;"",G31&gt;0,OR(G31&lt;500,G31&lt;Y31*0.05)),"⚠","")</f>
        <v/>
      </c>
      <c r="B31" s="32" t="s">
        <v>56</v>
      </c>
      <c r="C31" s="32"/>
      <c r="D31" s="33" t="s">
        <v>79</v>
      </c>
      <c r="E31" s="34" t="s">
        <v>80</v>
      </c>
      <c r="F31" s="43" t="n">
        <v>44562</v>
      </c>
      <c r="G31" s="36" t="n">
        <v>779.79375</v>
      </c>
      <c r="H31" s="37" t="n">
        <v>1848.4</v>
      </c>
      <c r="I31" s="37" t="n">
        <v>1068.60625</v>
      </c>
      <c r="J31" s="37"/>
      <c r="K31" s="37"/>
      <c r="L31" s="37"/>
      <c r="M31" s="38" t="str">
        <f aca="false">IF(OR(K31="",K31=0),"",IFERROR(MAX(0,K31-L31),0))</f>
        <v/>
      </c>
      <c r="N31" s="37"/>
      <c r="O31" s="37"/>
      <c r="P31" s="38" t="str">
        <f aca="false">IF(N31="","",IFERROR(N31-O31,0))</f>
        <v/>
      </c>
      <c r="Q31" s="39" t="n">
        <f aca="false">IF(B31="","",IFERROR(IF(U31&lt;&gt;"",U31,IF(T31=1,G31+IFERROR(J31,0)+IFERROR(M31,0)-IFERROR(P31,0),(G31+IFERROR(J31,0)+IFERROR(M31,0)-IFERROR(P31,0))*S31)),0))</f>
        <v>0</v>
      </c>
      <c r="R31" s="38" t="n">
        <f aca="false">IF(B31="","",IFERROR(G31+IFERROR(J31,0)+IFERROR(M31,0)-IFERROR(P31,0),0))</f>
        <v>0</v>
      </c>
      <c r="S31" s="40" t="n">
        <v>0.25</v>
      </c>
      <c r="V31" s="41" t="n">
        <f aca="false">IF(B31="","",IFERROR(H31+IFERROR(J31,0)-IFERROR(N31,0),0))</f>
        <v>1848.4</v>
      </c>
      <c r="W31" s="42" t="n">
        <f aca="false">IF(B31="","",IFERROR(V31-X31,0))</f>
        <v>779.79375</v>
      </c>
      <c r="X31" s="38" t="n">
        <f aca="false">IF(B31="","",IFERROR(I31+Q31-IFERROR(O31,0),0))</f>
        <v>1068.60625</v>
      </c>
      <c r="Y31" s="0" t="n">
        <v>1848.4</v>
      </c>
    </row>
    <row r="32" customFormat="false" ht="18" hidden="false" customHeight="true" outlineLevel="0" collapsed="false">
      <c r="A32" s="31" t="str">
        <f aca="false">IF(AND(B32&lt;&gt;"",G32&gt;0,OR(G32&lt;500,G32&lt;Y32*0.05)),"⚠","")</f>
        <v/>
      </c>
      <c r="B32" s="32" t="s">
        <v>56</v>
      </c>
      <c r="C32" s="32"/>
      <c r="D32" s="33" t="s">
        <v>79</v>
      </c>
      <c r="E32" s="34" t="s">
        <v>80</v>
      </c>
      <c r="F32" s="43" t="n">
        <v>44562</v>
      </c>
      <c r="G32" s="36" t="n">
        <v>779.79375</v>
      </c>
      <c r="H32" s="37" t="n">
        <v>1848.4</v>
      </c>
      <c r="I32" s="37" t="n">
        <v>1068.60625</v>
      </c>
      <c r="J32" s="37"/>
      <c r="K32" s="37"/>
      <c r="L32" s="37"/>
      <c r="M32" s="38" t="str">
        <f aca="false">IF(OR(K32="",K32=0),"",IFERROR(MAX(0,K32-L32),0))</f>
        <v/>
      </c>
      <c r="N32" s="37"/>
      <c r="O32" s="37"/>
      <c r="P32" s="38" t="str">
        <f aca="false">IF(N32="","",IFERROR(N32-O32,0))</f>
        <v/>
      </c>
      <c r="Q32" s="39" t="n">
        <f aca="false">IF(B32="","",IFERROR(IF(U32&lt;&gt;"",U32,IF(T32=1,G32+IFERROR(J32,0)+IFERROR(M32,0)-IFERROR(P32,0),(G32+IFERROR(J32,0)+IFERROR(M32,0)-IFERROR(P32,0))*S32)),0))</f>
        <v>0</v>
      </c>
      <c r="R32" s="38" t="n">
        <f aca="false">IF(B32="","",IFERROR(G32+IFERROR(J32,0)+IFERROR(M32,0)-IFERROR(P32,0),0))</f>
        <v>0</v>
      </c>
      <c r="S32" s="40" t="n">
        <v>0.25</v>
      </c>
      <c r="V32" s="41" t="n">
        <f aca="false">IF(B32="","",IFERROR(H32+IFERROR(J32,0)-IFERROR(N32,0),0))</f>
        <v>1848.4</v>
      </c>
      <c r="W32" s="42" t="n">
        <f aca="false">IF(B32="","",IFERROR(V32-X32,0))</f>
        <v>779.79375</v>
      </c>
      <c r="X32" s="38" t="n">
        <f aca="false">IF(B32="","",IFERROR(I32+Q32-IFERROR(O32,0),0))</f>
        <v>1068.60625</v>
      </c>
      <c r="Y32" s="0" t="n">
        <v>1848.4</v>
      </c>
    </row>
    <row r="33" customFormat="false" ht="18" hidden="false" customHeight="true" outlineLevel="0" collapsed="false">
      <c r="A33" s="31" t="str">
        <f aca="false">IF(AND(B33&lt;&gt;"",G33&gt;0,OR(G33&lt;500,G33&lt;Y33*0.05)),"⚠","")</f>
        <v/>
      </c>
      <c r="B33" s="32" t="s">
        <v>56</v>
      </c>
      <c r="C33" s="32"/>
      <c r="D33" s="33" t="s">
        <v>79</v>
      </c>
      <c r="E33" s="34" t="s">
        <v>80</v>
      </c>
      <c r="F33" s="43" t="n">
        <v>44562</v>
      </c>
      <c r="G33" s="36" t="n">
        <v>779.79375</v>
      </c>
      <c r="H33" s="37" t="n">
        <v>1848.4</v>
      </c>
      <c r="I33" s="37" t="n">
        <v>1068.60625</v>
      </c>
      <c r="J33" s="37"/>
      <c r="K33" s="37"/>
      <c r="L33" s="37"/>
      <c r="M33" s="38" t="str">
        <f aca="false">IF(OR(K33="",K33=0),"",IFERROR(MAX(0,K33-L33),0))</f>
        <v/>
      </c>
      <c r="N33" s="37"/>
      <c r="O33" s="37"/>
      <c r="P33" s="38" t="str">
        <f aca="false">IF(N33="","",IFERROR(N33-O33,0))</f>
        <v/>
      </c>
      <c r="Q33" s="39" t="n">
        <f aca="false">IF(B33="","",IFERROR(IF(U33&lt;&gt;"",U33,IF(T33=1,G33+IFERROR(J33,0)+IFERROR(M33,0)-IFERROR(P33,0),(G33+IFERROR(J33,0)+IFERROR(M33,0)-IFERROR(P33,0))*S33)),0))</f>
        <v>0</v>
      </c>
      <c r="R33" s="38" t="n">
        <f aca="false">IF(B33="","",IFERROR(G33+IFERROR(J33,0)+IFERROR(M33,0)-IFERROR(P33,0),0))</f>
        <v>0</v>
      </c>
      <c r="S33" s="40" t="n">
        <v>0.25</v>
      </c>
      <c r="V33" s="41" t="n">
        <f aca="false">IF(B33="","",IFERROR(H33+IFERROR(J33,0)-IFERROR(N33,0),0))</f>
        <v>1848.4</v>
      </c>
      <c r="W33" s="42" t="n">
        <f aca="false">IF(B33="","",IFERROR(V33-X33,0))</f>
        <v>779.79375</v>
      </c>
      <c r="X33" s="38" t="n">
        <f aca="false">IF(B33="","",IFERROR(I33+Q33-IFERROR(O33,0),0))</f>
        <v>1068.60625</v>
      </c>
      <c r="Y33" s="0" t="n">
        <v>1848.4</v>
      </c>
    </row>
    <row r="34" customFormat="false" ht="18" hidden="false" customHeight="true" outlineLevel="0" collapsed="false">
      <c r="A34" s="31" t="str">
        <f aca="false">IF(AND(B34&lt;&gt;"",G34&gt;0,OR(G34&lt;500,G34&lt;Y34*0.05)),"⚠","")</f>
        <v/>
      </c>
      <c r="B34" s="32" t="s">
        <v>56</v>
      </c>
      <c r="C34" s="32"/>
      <c r="D34" s="33" t="s">
        <v>79</v>
      </c>
      <c r="E34" s="34" t="s">
        <v>80</v>
      </c>
      <c r="F34" s="43" t="n">
        <v>44562</v>
      </c>
      <c r="G34" s="36" t="n">
        <v>779.79375</v>
      </c>
      <c r="H34" s="37" t="n">
        <v>1848.4</v>
      </c>
      <c r="I34" s="37" t="n">
        <v>1068.60625</v>
      </c>
      <c r="J34" s="37"/>
      <c r="K34" s="37"/>
      <c r="L34" s="37"/>
      <c r="M34" s="38" t="str">
        <f aca="false">IF(OR(K34="",K34=0),"",IFERROR(MAX(0,K34-L34),0))</f>
        <v/>
      </c>
      <c r="N34" s="37"/>
      <c r="O34" s="37"/>
      <c r="P34" s="38" t="str">
        <f aca="false">IF(N34="","",IFERROR(N34-O34,0))</f>
        <v/>
      </c>
      <c r="Q34" s="39" t="n">
        <f aca="false">IF(B34="","",IFERROR(IF(U34&lt;&gt;"",U34,IF(T34=1,G34+IFERROR(J34,0)+IFERROR(M34,0)-IFERROR(P34,0),(G34+IFERROR(J34,0)+IFERROR(M34,0)-IFERROR(P34,0))*S34)),0))</f>
        <v>0</v>
      </c>
      <c r="R34" s="38" t="n">
        <f aca="false">IF(B34="","",IFERROR(G34+IFERROR(J34,0)+IFERROR(M34,0)-IFERROR(P34,0),0))</f>
        <v>0</v>
      </c>
      <c r="S34" s="40" t="n">
        <v>0.25</v>
      </c>
      <c r="V34" s="41" t="n">
        <f aca="false">IF(B34="","",IFERROR(H34+IFERROR(J34,0)-IFERROR(N34,0),0))</f>
        <v>1848.4</v>
      </c>
      <c r="W34" s="42" t="n">
        <f aca="false">IF(B34="","",IFERROR(V34-X34,0))</f>
        <v>779.79375</v>
      </c>
      <c r="X34" s="38" t="n">
        <f aca="false">IF(B34="","",IFERROR(I34+Q34-IFERROR(O34,0),0))</f>
        <v>1068.60625</v>
      </c>
      <c r="Y34" s="0" t="n">
        <v>1848.4</v>
      </c>
    </row>
    <row r="35" customFormat="false" ht="18" hidden="false" customHeight="true" outlineLevel="0" collapsed="false">
      <c r="A35" s="31" t="str">
        <f aca="false">IF(AND(B35&lt;&gt;"",G35&gt;0,OR(G35&lt;500,G35&lt;Y35*0.05)),"⚠","")</f>
        <v/>
      </c>
      <c r="B35" s="32" t="s">
        <v>56</v>
      </c>
      <c r="C35" s="32"/>
      <c r="D35" s="33" t="s">
        <v>81</v>
      </c>
      <c r="E35" s="34" t="s">
        <v>80</v>
      </c>
      <c r="F35" s="43" t="n">
        <v>44562</v>
      </c>
      <c r="G35" s="36" t="n">
        <v>693.89578125</v>
      </c>
      <c r="H35" s="37" t="n">
        <v>1644.79</v>
      </c>
      <c r="I35" s="37" t="n">
        <v>950.89421875</v>
      </c>
      <c r="J35" s="37"/>
      <c r="K35" s="37"/>
      <c r="L35" s="37"/>
      <c r="M35" s="38" t="str">
        <f aca="false">IF(OR(K35="",K35=0),"",IFERROR(MAX(0,K35-L35),0))</f>
        <v/>
      </c>
      <c r="N35" s="37"/>
      <c r="O35" s="37"/>
      <c r="P35" s="38" t="str">
        <f aca="false">IF(N35="","",IFERROR(N35-O35,0))</f>
        <v/>
      </c>
      <c r="Q35" s="39" t="n">
        <f aca="false">IF(B35="","",IFERROR(IF(U35&lt;&gt;"",U35,IF(T35=1,G35+IFERROR(J35,0)+IFERROR(M35,0)-IFERROR(P35,0),(G35+IFERROR(J35,0)+IFERROR(M35,0)-IFERROR(P35,0))*S35)),0))</f>
        <v>0</v>
      </c>
      <c r="R35" s="38" t="n">
        <f aca="false">IF(B35="","",IFERROR(G35+IFERROR(J35,0)+IFERROR(M35,0)-IFERROR(P35,0),0))</f>
        <v>0</v>
      </c>
      <c r="S35" s="40" t="n">
        <v>0.25</v>
      </c>
      <c r="V35" s="41" t="n">
        <f aca="false">IF(B35="","",IFERROR(H35+IFERROR(J35,0)-IFERROR(N35,0),0))</f>
        <v>1644.79</v>
      </c>
      <c r="W35" s="42" t="n">
        <f aca="false">IF(B35="","",IFERROR(V35-X35,0))</f>
        <v>693.89578125</v>
      </c>
      <c r="X35" s="38" t="n">
        <f aca="false">IF(B35="","",IFERROR(I35+Q35-IFERROR(O35,0),0))</f>
        <v>950.89421875</v>
      </c>
      <c r="Y35" s="0" t="n">
        <v>1644.79</v>
      </c>
    </row>
    <row r="36" customFormat="false" ht="18" hidden="false" customHeight="true" outlineLevel="0" collapsed="false">
      <c r="A36" s="31" t="str">
        <f aca="false">IF(AND(B36&lt;&gt;"",G36&gt;0,OR(G36&lt;500,G36&lt;Y36*0.05)),"⚠","")</f>
        <v/>
      </c>
      <c r="B36" s="32" t="s">
        <v>56</v>
      </c>
      <c r="C36" s="32"/>
      <c r="D36" s="33" t="s">
        <v>81</v>
      </c>
      <c r="E36" s="34" t="s">
        <v>80</v>
      </c>
      <c r="F36" s="43" t="n">
        <v>44562</v>
      </c>
      <c r="G36" s="36" t="n">
        <v>693.89578125</v>
      </c>
      <c r="H36" s="37" t="n">
        <v>1644.79</v>
      </c>
      <c r="I36" s="37" t="n">
        <v>950.89421875</v>
      </c>
      <c r="J36" s="37"/>
      <c r="K36" s="37"/>
      <c r="L36" s="37"/>
      <c r="M36" s="38" t="str">
        <f aca="false">IF(OR(K36="",K36=0),"",IFERROR(MAX(0,K36-L36),0))</f>
        <v/>
      </c>
      <c r="N36" s="37"/>
      <c r="O36" s="37"/>
      <c r="P36" s="38" t="str">
        <f aca="false">IF(N36="","",IFERROR(N36-O36,0))</f>
        <v/>
      </c>
      <c r="Q36" s="39" t="n">
        <f aca="false">IF(B36="","",IFERROR(IF(U36&lt;&gt;"",U36,IF(T36=1,G36+IFERROR(J36,0)+IFERROR(M36,0)-IFERROR(P36,0),(G36+IFERROR(J36,0)+IFERROR(M36,0)-IFERROR(P36,0))*S36)),0))</f>
        <v>0</v>
      </c>
      <c r="R36" s="38" t="n">
        <f aca="false">IF(B36="","",IFERROR(G36+IFERROR(J36,0)+IFERROR(M36,0)-IFERROR(P36,0),0))</f>
        <v>0</v>
      </c>
      <c r="S36" s="40" t="n">
        <v>0.25</v>
      </c>
      <c r="V36" s="41" t="n">
        <f aca="false">IF(B36="","",IFERROR(H36+IFERROR(J36,0)-IFERROR(N36,0),0))</f>
        <v>1644.79</v>
      </c>
      <c r="W36" s="42" t="n">
        <f aca="false">IF(B36="","",IFERROR(V36-X36,0))</f>
        <v>693.89578125</v>
      </c>
      <c r="X36" s="38" t="n">
        <f aca="false">IF(B36="","",IFERROR(I36+Q36-IFERROR(O36,0),0))</f>
        <v>950.89421875</v>
      </c>
      <c r="Y36" s="0" t="n">
        <v>1644.79</v>
      </c>
    </row>
    <row r="37" customFormat="false" ht="18" hidden="false" customHeight="true" outlineLevel="0" collapsed="false">
      <c r="A37" s="31" t="str">
        <f aca="false">IF(AND(B37&lt;&gt;"",G37&gt;0,OR(G37&lt;500,G37&lt;Y37*0.05)),"⚠","")</f>
        <v/>
      </c>
      <c r="B37" s="32" t="s">
        <v>56</v>
      </c>
      <c r="C37" s="32"/>
      <c r="D37" s="33" t="s">
        <v>82</v>
      </c>
      <c r="E37" s="34" t="s">
        <v>83</v>
      </c>
      <c r="F37" s="43" t="n">
        <v>44562</v>
      </c>
      <c r="G37" s="36"/>
      <c r="H37" s="37" t="n">
        <v>590</v>
      </c>
      <c r="I37" s="37" t="n">
        <v>590</v>
      </c>
      <c r="J37" s="37"/>
      <c r="K37" s="37"/>
      <c r="L37" s="37"/>
      <c r="M37" s="38" t="str">
        <f aca="false">IF(OR(K37="",K37=0),"",IFERROR(MAX(0,K37-L37),0))</f>
        <v/>
      </c>
      <c r="N37" s="37"/>
      <c r="O37" s="37"/>
      <c r="P37" s="38" t="str">
        <f aca="false">IF(N37="","",IFERROR(N37-O37,0))</f>
        <v/>
      </c>
      <c r="Q37" s="39" t="n">
        <f aca="false">IF(B37="","",IFERROR(IF(U37&lt;&gt;"",U37,IF(T37=1,G37+IFERROR(J37,0)+IFERROR(M37,0)-IFERROR(P37,0),(G37+IFERROR(J37,0)+IFERROR(M37,0)-IFERROR(P37,0))*S37)),0))</f>
        <v>0</v>
      </c>
      <c r="R37" s="38" t="n">
        <f aca="false">IF(B37="","",IFERROR(G37+IFERROR(J37,0)+IFERROR(M37,0)-IFERROR(P37,0),0))</f>
        <v>0</v>
      </c>
      <c r="S37" s="40" t="n">
        <v>1</v>
      </c>
      <c r="T37" s="0" t="n">
        <v>1</v>
      </c>
      <c r="V37" s="41" t="n">
        <f aca="false">IF(B37="","",IFERROR(H37+IFERROR(J37,0)-IFERROR(N37,0),0))</f>
        <v>590</v>
      </c>
      <c r="W37" s="42" t="n">
        <f aca="false">IF(B37="","",IFERROR(V37-X37,0))</f>
        <v>0</v>
      </c>
      <c r="X37" s="38" t="n">
        <f aca="false">IF(B37="","",IFERROR(I37+Q37-IFERROR(O37,0),0))</f>
        <v>590</v>
      </c>
      <c r="Y37" s="0" t="n">
        <v>590</v>
      </c>
    </row>
    <row r="38" customFormat="false" ht="18" hidden="false" customHeight="true" outlineLevel="0" collapsed="false">
      <c r="A38" s="31" t="str">
        <f aca="false">IF(AND(B38&lt;&gt;"",G38&gt;0,OR(G38&lt;500,G38&lt;Y38*0.05)),"⚠","")</f>
        <v/>
      </c>
      <c r="B38" s="32" t="s">
        <v>57</v>
      </c>
      <c r="C38" s="32"/>
      <c r="D38" s="33" t="s">
        <v>84</v>
      </c>
      <c r="E38" s="34" t="s">
        <v>85</v>
      </c>
      <c r="F38" s="43" t="n">
        <v>44927</v>
      </c>
      <c r="G38" s="36" t="n">
        <v>660.48</v>
      </c>
      <c r="H38" s="37" t="n">
        <v>1032</v>
      </c>
      <c r="I38" s="37" t="n">
        <v>371.52</v>
      </c>
      <c r="J38" s="37"/>
      <c r="K38" s="37"/>
      <c r="L38" s="37"/>
      <c r="M38" s="38" t="str">
        <f aca="false">IF(OR(K38="",K38=0),"",IFERROR(MAX(0,K38-L38),0))</f>
        <v/>
      </c>
      <c r="N38" s="37"/>
      <c r="O38" s="37"/>
      <c r="P38" s="38" t="str">
        <f aca="false">IF(N38="","",IFERROR(N38-O38,0))</f>
        <v/>
      </c>
      <c r="Q38" s="39" t="n">
        <f aca="false">IF(B38="","",IFERROR(IF(U38&lt;&gt;"",U38,IF(T38=1,G38+IFERROR(J38,0)+IFERROR(M38,0)-IFERROR(P38,0),(G38+IFERROR(J38,0)+IFERROR(M38,0)-IFERROR(P38,0))*S38)),0))</f>
        <v>0</v>
      </c>
      <c r="R38" s="38" t="n">
        <f aca="false">IF(B38="","",IFERROR(G38+IFERROR(J38,0)+IFERROR(M38,0)-IFERROR(P38,0),0))</f>
        <v>0</v>
      </c>
      <c r="S38" s="40" t="n">
        <v>0.2</v>
      </c>
      <c r="V38" s="41" t="n">
        <f aca="false">IF(B38="","",IFERROR(H38+IFERROR(J38,0)-IFERROR(N38,0),0))</f>
        <v>1032</v>
      </c>
      <c r="W38" s="42" t="n">
        <f aca="false">IF(B38="","",IFERROR(V38-X38,0))</f>
        <v>660.48</v>
      </c>
      <c r="X38" s="38" t="n">
        <f aca="false">IF(B38="","",IFERROR(I38+Q38-IFERROR(O38,0),0))</f>
        <v>371.52</v>
      </c>
      <c r="Y38" s="0" t="n">
        <v>1032</v>
      </c>
    </row>
    <row r="39" customFormat="false" ht="18" hidden="false" customHeight="true" outlineLevel="0" collapsed="false">
      <c r="A39" s="31" t="str">
        <f aca="false">IF(AND(B39&lt;&gt;"",G39&gt;0,OR(G39&lt;500,G39&lt;Y39*0.05)),"⚠","")</f>
        <v/>
      </c>
      <c r="B39" s="32" t="s">
        <v>56</v>
      </c>
      <c r="C39" s="32"/>
      <c r="D39" s="33" t="s">
        <v>86</v>
      </c>
      <c r="E39" s="34" t="s">
        <v>87</v>
      </c>
      <c r="F39" s="43" t="n">
        <v>44927</v>
      </c>
      <c r="G39" s="36" t="n">
        <v>770.81</v>
      </c>
      <c r="H39" s="37" t="n">
        <v>1370.34</v>
      </c>
      <c r="I39" s="37" t="n">
        <v>599.53</v>
      </c>
      <c r="J39" s="37"/>
      <c r="K39" s="37"/>
      <c r="L39" s="37"/>
      <c r="M39" s="38" t="str">
        <f aca="false">IF(OR(K39="",K39=0),"",IFERROR(MAX(0,K39-L39),0))</f>
        <v/>
      </c>
      <c r="N39" s="37"/>
      <c r="O39" s="37"/>
      <c r="P39" s="38" t="str">
        <f aca="false">IF(N39="","",IFERROR(N39-O39,0))</f>
        <v/>
      </c>
      <c r="Q39" s="39" t="n">
        <f aca="false">IF(B39="","",IFERROR(IF(U39&lt;&gt;"",U39,IF(T39=1,G39+IFERROR(J39,0)+IFERROR(M39,0)-IFERROR(P39,0),(G39+IFERROR(J39,0)+IFERROR(M39,0)-IFERROR(P39,0))*S39)),0))</f>
        <v>0</v>
      </c>
      <c r="R39" s="38" t="n">
        <f aca="false">IF(B39="","",IFERROR(G39+IFERROR(J39,0)+IFERROR(M39,0)-IFERROR(P39,0),0))</f>
        <v>0</v>
      </c>
      <c r="S39" s="40" t="n">
        <v>0.25</v>
      </c>
      <c r="V39" s="41" t="n">
        <f aca="false">IF(B39="","",IFERROR(H39+IFERROR(J39,0)-IFERROR(N39,0),0))</f>
        <v>1370.34</v>
      </c>
      <c r="W39" s="42" t="n">
        <f aca="false">IF(B39="","",IFERROR(V39-X39,0))</f>
        <v>770.81</v>
      </c>
      <c r="X39" s="38" t="n">
        <f aca="false">IF(B39="","",IFERROR(I39+Q39-IFERROR(O39,0),0))</f>
        <v>599.53</v>
      </c>
      <c r="Y39" s="0" t="n">
        <v>1370.34</v>
      </c>
    </row>
    <row r="40" customFormat="false" ht="18" hidden="false" customHeight="true" outlineLevel="0" collapsed="false">
      <c r="A40" s="31" t="str">
        <f aca="false">IF(AND(B40&lt;&gt;"",G40&gt;0,OR(G40&lt;500,G40&lt;Y40*0.05)),"⚠","")</f>
        <v/>
      </c>
      <c r="B40" s="32" t="s">
        <v>56</v>
      </c>
      <c r="C40" s="32"/>
      <c r="D40" s="33" t="s">
        <v>88</v>
      </c>
      <c r="E40" s="34" t="s">
        <v>89</v>
      </c>
      <c r="F40" s="43" t="n">
        <v>44927</v>
      </c>
      <c r="G40" s="36" t="n">
        <v>1520.6</v>
      </c>
      <c r="H40" s="37" t="n">
        <v>2703.29</v>
      </c>
      <c r="I40" s="37" t="n">
        <v>1182.69</v>
      </c>
      <c r="J40" s="37"/>
      <c r="K40" s="37"/>
      <c r="L40" s="37"/>
      <c r="M40" s="38" t="str">
        <f aca="false">IF(OR(K40="",K40=0),"",IFERROR(MAX(0,K40-L40),0))</f>
        <v/>
      </c>
      <c r="N40" s="37"/>
      <c r="O40" s="37"/>
      <c r="P40" s="38" t="str">
        <f aca="false">IF(N40="","",IFERROR(N40-O40,0))</f>
        <v/>
      </c>
      <c r="Q40" s="39" t="n">
        <f aca="false">IF(B40="","",IFERROR(IF(U40&lt;&gt;"",U40,IF(T40=1,G40+IFERROR(J40,0)+IFERROR(M40,0)-IFERROR(P40,0),(G40+IFERROR(J40,0)+IFERROR(M40,0)-IFERROR(P40,0))*S40)),0))</f>
        <v>0</v>
      </c>
      <c r="R40" s="38" t="n">
        <f aca="false">IF(B40="","",IFERROR(G40+IFERROR(J40,0)+IFERROR(M40,0)-IFERROR(P40,0),0))</f>
        <v>0</v>
      </c>
      <c r="S40" s="40" t="n">
        <v>0.25</v>
      </c>
      <c r="V40" s="41" t="n">
        <f aca="false">IF(B40="","",IFERROR(H40+IFERROR(J40,0)-IFERROR(N40,0),0))</f>
        <v>2703.29</v>
      </c>
      <c r="W40" s="42" t="n">
        <f aca="false">IF(B40="","",IFERROR(V40-X40,0))</f>
        <v>1520.6</v>
      </c>
      <c r="X40" s="38" t="n">
        <f aca="false">IF(B40="","",IFERROR(I40+Q40-IFERROR(O40,0),0))</f>
        <v>1182.69</v>
      </c>
      <c r="Y40" s="0" t="n">
        <v>2703.29</v>
      </c>
    </row>
    <row r="41" customFormat="false" ht="18" hidden="false" customHeight="true" outlineLevel="0" collapsed="false">
      <c r="A41" s="31" t="str">
        <f aca="false">IF(AND(B41&lt;&gt;"",G41&gt;0,OR(G41&lt;500,G41&lt;Y41*0.05)),"⚠","")</f>
        <v/>
      </c>
      <c r="B41" s="32" t="s">
        <v>56</v>
      </c>
      <c r="C41" s="32"/>
      <c r="D41" s="33" t="s">
        <v>90</v>
      </c>
      <c r="E41" s="34" t="s">
        <v>80</v>
      </c>
      <c r="F41" s="43" t="n">
        <v>44927</v>
      </c>
      <c r="G41" s="36" t="n">
        <v>973.93</v>
      </c>
      <c r="H41" s="37" t="n">
        <v>1731.44</v>
      </c>
      <c r="I41" s="37" t="n">
        <v>757.51</v>
      </c>
      <c r="J41" s="37"/>
      <c r="K41" s="37"/>
      <c r="L41" s="37"/>
      <c r="M41" s="38" t="str">
        <f aca="false">IF(OR(K41="",K41=0),"",IFERROR(MAX(0,K41-L41),0))</f>
        <v/>
      </c>
      <c r="N41" s="37"/>
      <c r="O41" s="37"/>
      <c r="P41" s="38" t="str">
        <f aca="false">IF(N41="","",IFERROR(N41-O41,0))</f>
        <v/>
      </c>
      <c r="Q41" s="39" t="n">
        <f aca="false">IF(B41="","",IFERROR(IF(U41&lt;&gt;"",U41,IF(T41=1,G41+IFERROR(J41,0)+IFERROR(M41,0)-IFERROR(P41,0),(G41+IFERROR(J41,0)+IFERROR(M41,0)-IFERROR(P41,0))*S41)),0))</f>
        <v>0</v>
      </c>
      <c r="R41" s="38" t="n">
        <f aca="false">IF(B41="","",IFERROR(G41+IFERROR(J41,0)+IFERROR(M41,0)-IFERROR(P41,0),0))</f>
        <v>0</v>
      </c>
      <c r="S41" s="40" t="n">
        <v>0.25</v>
      </c>
      <c r="V41" s="41" t="n">
        <f aca="false">IF(B41="","",IFERROR(H41+IFERROR(J41,0)-IFERROR(N41,0),0))</f>
        <v>1731.44</v>
      </c>
      <c r="W41" s="42" t="n">
        <f aca="false">IF(B41="","",IFERROR(V41-X41,0))</f>
        <v>973.93</v>
      </c>
      <c r="X41" s="38" t="n">
        <f aca="false">IF(B41="","",IFERROR(I41+Q41-IFERROR(O41,0),0))</f>
        <v>757.51</v>
      </c>
      <c r="Y41" s="0" t="n">
        <v>1731.44</v>
      </c>
    </row>
    <row r="42" customFormat="false" ht="18" hidden="false" customHeight="true" outlineLevel="0" collapsed="false">
      <c r="A42" s="31" t="str">
        <f aca="false">IF(AND(B42&lt;&gt;"",G42&gt;0,OR(G42&lt;500,G42&lt;Y42*0.05)),"⚠","")</f>
        <v/>
      </c>
      <c r="B42" s="32" t="s">
        <v>56</v>
      </c>
      <c r="C42" s="32"/>
      <c r="D42" s="33" t="s">
        <v>90</v>
      </c>
      <c r="E42" s="34" t="s">
        <v>80</v>
      </c>
      <c r="F42" s="43" t="n">
        <v>44927</v>
      </c>
      <c r="G42" s="36" t="n">
        <v>892.704375</v>
      </c>
      <c r="H42" s="37" t="n">
        <v>1587.03</v>
      </c>
      <c r="I42" s="37" t="n">
        <v>694.325625</v>
      </c>
      <c r="J42" s="37"/>
      <c r="K42" s="37"/>
      <c r="L42" s="37"/>
      <c r="M42" s="38" t="str">
        <f aca="false">IF(OR(K42="",K42=0),"",IFERROR(MAX(0,K42-L42),0))</f>
        <v/>
      </c>
      <c r="N42" s="37"/>
      <c r="O42" s="37"/>
      <c r="P42" s="38" t="str">
        <f aca="false">IF(N42="","",IFERROR(N42-O42,0))</f>
        <v/>
      </c>
      <c r="Q42" s="39" t="n">
        <f aca="false">IF(B42="","",IFERROR(IF(U42&lt;&gt;"",U42,IF(T42=1,G42+IFERROR(J42,0)+IFERROR(M42,0)-IFERROR(P42,0),(G42+IFERROR(J42,0)+IFERROR(M42,0)-IFERROR(P42,0))*S42)),0))</f>
        <v>0</v>
      </c>
      <c r="R42" s="38" t="n">
        <f aca="false">IF(B42="","",IFERROR(G42+IFERROR(J42,0)+IFERROR(M42,0)-IFERROR(P42,0),0))</f>
        <v>0</v>
      </c>
      <c r="S42" s="40" t="n">
        <v>0.25</v>
      </c>
      <c r="V42" s="41" t="n">
        <f aca="false">IF(B42="","",IFERROR(H42+IFERROR(J42,0)-IFERROR(N42,0),0))</f>
        <v>1587.03</v>
      </c>
      <c r="W42" s="42" t="n">
        <f aca="false">IF(B42="","",IFERROR(V42-X42,0))</f>
        <v>892.704375</v>
      </c>
      <c r="X42" s="38" t="n">
        <f aca="false">IF(B42="","",IFERROR(I42+Q42-IFERROR(O42,0),0))</f>
        <v>694.325625</v>
      </c>
      <c r="Y42" s="0" t="n">
        <v>1587.03</v>
      </c>
    </row>
    <row r="43" customFormat="false" ht="18" hidden="false" customHeight="true" outlineLevel="0" collapsed="false">
      <c r="A43" s="31" t="str">
        <f aca="false">IF(AND(B43&lt;&gt;"",G43&gt;0,OR(G43&lt;500,G43&lt;Y43*0.05)),"⚠","")</f>
        <v/>
      </c>
      <c r="B43" s="32" t="s">
        <v>56</v>
      </c>
      <c r="C43" s="32"/>
      <c r="D43" s="33" t="s">
        <v>90</v>
      </c>
      <c r="E43" s="34" t="s">
        <v>80</v>
      </c>
      <c r="F43" s="43" t="n">
        <v>44927</v>
      </c>
      <c r="G43" s="36" t="n">
        <v>892.704375</v>
      </c>
      <c r="H43" s="37" t="n">
        <v>1587.03</v>
      </c>
      <c r="I43" s="37" t="n">
        <v>694.325625</v>
      </c>
      <c r="J43" s="37"/>
      <c r="K43" s="37"/>
      <c r="L43" s="37"/>
      <c r="M43" s="38" t="str">
        <f aca="false">IF(OR(K43="",K43=0),"",IFERROR(MAX(0,K43-L43),0))</f>
        <v/>
      </c>
      <c r="N43" s="37"/>
      <c r="O43" s="37"/>
      <c r="P43" s="38" t="str">
        <f aca="false">IF(N43="","",IFERROR(N43-O43,0))</f>
        <v/>
      </c>
      <c r="Q43" s="39" t="n">
        <f aca="false">IF(B43="","",IFERROR(IF(U43&lt;&gt;"",U43,IF(T43=1,G43+IFERROR(J43,0)+IFERROR(M43,0)-IFERROR(P43,0),(G43+IFERROR(J43,0)+IFERROR(M43,0)-IFERROR(P43,0))*S43)),0))</f>
        <v>0</v>
      </c>
      <c r="R43" s="38" t="n">
        <f aca="false">IF(B43="","",IFERROR(G43+IFERROR(J43,0)+IFERROR(M43,0)-IFERROR(P43,0),0))</f>
        <v>0</v>
      </c>
      <c r="S43" s="40" t="n">
        <v>0.25</v>
      </c>
      <c r="V43" s="41" t="n">
        <f aca="false">IF(B43="","",IFERROR(H43+IFERROR(J43,0)-IFERROR(N43,0),0))</f>
        <v>1587.03</v>
      </c>
      <c r="W43" s="42" t="n">
        <f aca="false">IF(B43="","",IFERROR(V43-X43,0))</f>
        <v>892.704375</v>
      </c>
      <c r="X43" s="38" t="n">
        <f aca="false">IF(B43="","",IFERROR(I43+Q43-IFERROR(O43,0),0))</f>
        <v>694.325625</v>
      </c>
      <c r="Y43" s="0" t="n">
        <v>1587.03</v>
      </c>
    </row>
    <row r="44" customFormat="false" ht="18" hidden="false" customHeight="true" outlineLevel="0" collapsed="false">
      <c r="A44" s="31" t="str">
        <f aca="false">IF(AND(B44&lt;&gt;"",G44&gt;0,OR(G44&lt;500,G44&lt;Y44*0.05)),"⚠","")</f>
        <v/>
      </c>
      <c r="B44" s="32" t="s">
        <v>56</v>
      </c>
      <c r="C44" s="32"/>
      <c r="D44" s="33" t="s">
        <v>90</v>
      </c>
      <c r="E44" s="34" t="s">
        <v>80</v>
      </c>
      <c r="F44" s="43" t="n">
        <v>44927</v>
      </c>
      <c r="G44" s="36" t="n">
        <v>892.704375</v>
      </c>
      <c r="H44" s="37" t="n">
        <v>1587.03</v>
      </c>
      <c r="I44" s="37" t="n">
        <v>694.325625</v>
      </c>
      <c r="J44" s="37"/>
      <c r="K44" s="37"/>
      <c r="L44" s="37"/>
      <c r="M44" s="38" t="str">
        <f aca="false">IF(OR(K44="",K44=0),"",IFERROR(MAX(0,K44-L44),0))</f>
        <v/>
      </c>
      <c r="N44" s="37"/>
      <c r="O44" s="37"/>
      <c r="P44" s="38" t="str">
        <f aca="false">IF(N44="","",IFERROR(N44-O44,0))</f>
        <v/>
      </c>
      <c r="Q44" s="39" t="n">
        <f aca="false">IF(B44="","",IFERROR(IF(U44&lt;&gt;"",U44,IF(T44=1,G44+IFERROR(J44,0)+IFERROR(M44,0)-IFERROR(P44,0),(G44+IFERROR(J44,0)+IFERROR(M44,0)-IFERROR(P44,0))*S44)),0))</f>
        <v>0</v>
      </c>
      <c r="R44" s="38" t="n">
        <f aca="false">IF(B44="","",IFERROR(G44+IFERROR(J44,0)+IFERROR(M44,0)-IFERROR(P44,0),0))</f>
        <v>0</v>
      </c>
      <c r="S44" s="40" t="n">
        <v>0.25</v>
      </c>
      <c r="V44" s="41" t="n">
        <f aca="false">IF(B44="","",IFERROR(H44+IFERROR(J44,0)-IFERROR(N44,0),0))</f>
        <v>1587.03</v>
      </c>
      <c r="W44" s="42" t="n">
        <f aca="false">IF(B44="","",IFERROR(V44-X44,0))</f>
        <v>892.704375</v>
      </c>
      <c r="X44" s="38" t="n">
        <f aca="false">IF(B44="","",IFERROR(I44+Q44-IFERROR(O44,0),0))</f>
        <v>694.325625</v>
      </c>
      <c r="Y44" s="0" t="n">
        <v>1587.03</v>
      </c>
    </row>
    <row r="45" customFormat="false" ht="18" hidden="false" customHeight="true" outlineLevel="0" collapsed="false">
      <c r="A45" s="31" t="str">
        <f aca="false">IF(AND(B45&lt;&gt;"",G45&gt;0,OR(G45&lt;500,G45&lt;Y45*0.05)),"⚠","")</f>
        <v/>
      </c>
      <c r="B45" s="32" t="s">
        <v>57</v>
      </c>
      <c r="C45" s="32"/>
      <c r="D45" s="33" t="s">
        <v>91</v>
      </c>
      <c r="E45" s="34" t="s">
        <v>92</v>
      </c>
      <c r="F45" s="43" t="n">
        <v>44927</v>
      </c>
      <c r="G45" s="36" t="n">
        <v>783.0848</v>
      </c>
      <c r="H45" s="37" t="n">
        <v>1223.57</v>
      </c>
      <c r="I45" s="37" t="n">
        <v>440.4852</v>
      </c>
      <c r="J45" s="37"/>
      <c r="K45" s="37"/>
      <c r="L45" s="37"/>
      <c r="M45" s="38" t="str">
        <f aca="false">IF(OR(K45="",K45=0),"",IFERROR(MAX(0,K45-L45),0))</f>
        <v/>
      </c>
      <c r="N45" s="37"/>
      <c r="O45" s="37"/>
      <c r="P45" s="38" t="str">
        <f aca="false">IF(N45="","",IFERROR(N45-O45,0))</f>
        <v/>
      </c>
      <c r="Q45" s="39" t="n">
        <f aca="false">IF(B45="","",IFERROR(IF(U45&lt;&gt;"",U45,IF(T45=1,G45+IFERROR(J45,0)+IFERROR(M45,0)-IFERROR(P45,0),(G45+IFERROR(J45,0)+IFERROR(M45,0)-IFERROR(P45,0))*S45)),0))</f>
        <v>0</v>
      </c>
      <c r="R45" s="38" t="n">
        <f aca="false">IF(B45="","",IFERROR(G45+IFERROR(J45,0)+IFERROR(M45,0)-IFERROR(P45,0),0))</f>
        <v>0</v>
      </c>
      <c r="S45" s="40" t="n">
        <v>0.2</v>
      </c>
      <c r="V45" s="41" t="n">
        <f aca="false">IF(B45="","",IFERROR(H45+IFERROR(J45,0)-IFERROR(N45,0),0))</f>
        <v>1223.57</v>
      </c>
      <c r="W45" s="42" t="n">
        <f aca="false">IF(B45="","",IFERROR(V45-X45,0))</f>
        <v>783.0848</v>
      </c>
      <c r="X45" s="38" t="n">
        <f aca="false">IF(B45="","",IFERROR(I45+Q45-IFERROR(O45,0),0))</f>
        <v>440.4852</v>
      </c>
      <c r="Y45" s="0" t="n">
        <v>1223.57</v>
      </c>
    </row>
    <row r="46" customFormat="false" ht="18" hidden="false" customHeight="true" outlineLevel="0" collapsed="false">
      <c r="A46" s="31" t="str">
        <f aca="false">IF(AND(B46&lt;&gt;"",G46&gt;0,OR(G46&lt;500,G46&lt;Y46*0.05)),"⚠","")</f>
        <v/>
      </c>
      <c r="B46" s="32" t="s">
        <v>57</v>
      </c>
      <c r="C46" s="32"/>
      <c r="D46" s="33" t="s">
        <v>91</v>
      </c>
      <c r="E46" s="34" t="s">
        <v>92</v>
      </c>
      <c r="F46" s="43" t="n">
        <v>44927</v>
      </c>
      <c r="G46" s="36" t="n">
        <v>783.0848</v>
      </c>
      <c r="H46" s="37" t="n">
        <v>1223.57</v>
      </c>
      <c r="I46" s="37" t="n">
        <v>440.4852</v>
      </c>
      <c r="J46" s="37"/>
      <c r="K46" s="37"/>
      <c r="L46" s="37"/>
      <c r="M46" s="38" t="str">
        <f aca="false">IF(OR(K46="",K46=0),"",IFERROR(MAX(0,K46-L46),0))</f>
        <v/>
      </c>
      <c r="N46" s="37"/>
      <c r="O46" s="37"/>
      <c r="P46" s="38" t="str">
        <f aca="false">IF(N46="","",IFERROR(N46-O46,0))</f>
        <v/>
      </c>
      <c r="Q46" s="39" t="n">
        <f aca="false">IF(B46="","",IFERROR(IF(U46&lt;&gt;"",U46,IF(T46=1,G46+IFERROR(J46,0)+IFERROR(M46,0)-IFERROR(P46,0),(G46+IFERROR(J46,0)+IFERROR(M46,0)-IFERROR(P46,0))*S46)),0))</f>
        <v>0</v>
      </c>
      <c r="R46" s="38" t="n">
        <f aca="false">IF(B46="","",IFERROR(G46+IFERROR(J46,0)+IFERROR(M46,0)-IFERROR(P46,0),0))</f>
        <v>0</v>
      </c>
      <c r="S46" s="40" t="n">
        <v>0.2</v>
      </c>
      <c r="V46" s="41" t="n">
        <f aca="false">IF(B46="","",IFERROR(H46+IFERROR(J46,0)-IFERROR(N46,0),0))</f>
        <v>1223.57</v>
      </c>
      <c r="W46" s="42" t="n">
        <f aca="false">IF(B46="","",IFERROR(V46-X46,0))</f>
        <v>783.0848</v>
      </c>
      <c r="X46" s="38" t="n">
        <f aca="false">IF(B46="","",IFERROR(I46+Q46-IFERROR(O46,0),0))</f>
        <v>440.4852</v>
      </c>
      <c r="Y46" s="0" t="n">
        <v>1223.57</v>
      </c>
    </row>
    <row r="47" customFormat="false" ht="18" hidden="false" customHeight="true" outlineLevel="0" collapsed="false">
      <c r="A47" s="31" t="str">
        <f aca="false">IF(AND(B47&lt;&gt;"",G47&gt;0,OR(G47&lt;500,G47&lt;Y47*0.05)),"⚠","")</f>
        <v/>
      </c>
      <c r="B47" s="32" t="s">
        <v>56</v>
      </c>
      <c r="C47" s="32"/>
      <c r="D47" s="33" t="s">
        <v>93</v>
      </c>
      <c r="E47" s="34" t="s">
        <v>92</v>
      </c>
      <c r="F47" s="43" t="n">
        <v>44927</v>
      </c>
      <c r="G47" s="36"/>
      <c r="H47" s="37" t="n">
        <v>402.63</v>
      </c>
      <c r="I47" s="37" t="n">
        <v>402.63</v>
      </c>
      <c r="J47" s="37"/>
      <c r="K47" s="37"/>
      <c r="L47" s="37"/>
      <c r="M47" s="38" t="str">
        <f aca="false">IF(OR(K47="",K47=0),"",IFERROR(MAX(0,K47-L47),0))</f>
        <v/>
      </c>
      <c r="N47" s="37"/>
      <c r="O47" s="37"/>
      <c r="P47" s="38" t="str">
        <f aca="false">IF(N47="","",IFERROR(N47-O47,0))</f>
        <v/>
      </c>
      <c r="Q47" s="39" t="n">
        <f aca="false">IF(B47="","",IFERROR(IF(U47&lt;&gt;"",U47,IF(T47=1,G47+IFERROR(J47,0)+IFERROR(M47,0)-IFERROR(P47,0),(G47+IFERROR(J47,0)+IFERROR(M47,0)-IFERROR(P47,0))*S47)),0))</f>
        <v>0</v>
      </c>
      <c r="R47" s="38" t="n">
        <f aca="false">IF(B47="","",IFERROR(G47+IFERROR(J47,0)+IFERROR(M47,0)-IFERROR(P47,0),0))</f>
        <v>0</v>
      </c>
      <c r="S47" s="40" t="n">
        <v>1</v>
      </c>
      <c r="T47" s="0" t="n">
        <v>1</v>
      </c>
      <c r="V47" s="41" t="n">
        <f aca="false">IF(B47="","",IFERROR(H47+IFERROR(J47,0)-IFERROR(N47,0),0))</f>
        <v>402.63</v>
      </c>
      <c r="W47" s="42" t="n">
        <f aca="false">IF(B47="","",IFERROR(V47-X47,0))</f>
        <v>0</v>
      </c>
      <c r="X47" s="38" t="n">
        <f aca="false">IF(B47="","",IFERROR(I47+Q47-IFERROR(O47,0),0))</f>
        <v>402.63</v>
      </c>
      <c r="Y47" s="0" t="n">
        <v>402.63</v>
      </c>
    </row>
    <row r="48" customFormat="false" ht="18" hidden="false" customHeight="true" outlineLevel="0" collapsed="false">
      <c r="A48" s="31" t="str">
        <f aca="false">IF(AND(B48&lt;&gt;"",G48&gt;0,OR(G48&lt;500,G48&lt;Y48*0.05)),"⚠","")</f>
        <v/>
      </c>
      <c r="B48" s="32" t="s">
        <v>57</v>
      </c>
      <c r="C48" s="32"/>
      <c r="D48" s="33" t="s">
        <v>94</v>
      </c>
      <c r="E48" s="34" t="s">
        <v>68</v>
      </c>
      <c r="F48" s="43" t="n">
        <v>44927</v>
      </c>
      <c r="G48" s="36"/>
      <c r="H48" s="37" t="n">
        <v>560</v>
      </c>
      <c r="I48" s="37" t="n">
        <v>560</v>
      </c>
      <c r="J48" s="37"/>
      <c r="K48" s="37"/>
      <c r="L48" s="37"/>
      <c r="M48" s="38" t="str">
        <f aca="false">IF(OR(K48="",K48=0),"",IFERROR(MAX(0,K48-L48),0))</f>
        <v/>
      </c>
      <c r="N48" s="37"/>
      <c r="O48" s="37"/>
      <c r="P48" s="38" t="str">
        <f aca="false">IF(N48="","",IFERROR(N48-O48,0))</f>
        <v/>
      </c>
      <c r="Q48" s="39" t="n">
        <f aca="false">IF(B48="","",IFERROR(IF(U48&lt;&gt;"",U48,IF(T48=1,G48+IFERROR(J48,0)+IFERROR(M48,0)-IFERROR(P48,0),(G48+IFERROR(J48,0)+IFERROR(M48,0)-IFERROR(P48,0))*S48)),0))</f>
        <v>0</v>
      </c>
      <c r="R48" s="38" t="n">
        <f aca="false">IF(B48="","",IFERROR(G48+IFERROR(J48,0)+IFERROR(M48,0)-IFERROR(P48,0),0))</f>
        <v>0</v>
      </c>
      <c r="S48" s="40" t="n">
        <v>0.2</v>
      </c>
      <c r="V48" s="41" t="n">
        <f aca="false">IF(B48="","",IFERROR(H48+IFERROR(J48,0)-IFERROR(N48,0),0))</f>
        <v>560</v>
      </c>
      <c r="W48" s="42" t="n">
        <f aca="false">IF(B48="","",IFERROR(V48-X48,0))</f>
        <v>0</v>
      </c>
      <c r="X48" s="38" t="n">
        <f aca="false">IF(B48="","",IFERROR(I48+Q48-IFERROR(O48,0),0))</f>
        <v>560</v>
      </c>
      <c r="Y48" s="0" t="n">
        <v>560</v>
      </c>
    </row>
    <row r="49" customFormat="false" ht="18" hidden="false" customHeight="true" outlineLevel="0" collapsed="false">
      <c r="A49" s="31" t="str">
        <f aca="false">IF(AND(B49&lt;&gt;"",G49&gt;0,OR(G49&lt;500,G49&lt;Y49*0.05)),"⚠","")</f>
        <v/>
      </c>
      <c r="B49" s="32" t="s">
        <v>52</v>
      </c>
      <c r="C49" s="32"/>
      <c r="D49" s="33" t="s">
        <v>59</v>
      </c>
      <c r="E49" s="34" t="s">
        <v>60</v>
      </c>
      <c r="F49" s="43" t="n">
        <v>44927</v>
      </c>
      <c r="G49" s="36" t="n">
        <v>3977.93</v>
      </c>
      <c r="H49" s="37" t="n">
        <v>4599.29</v>
      </c>
      <c r="I49" s="37" t="n">
        <v>621.36</v>
      </c>
      <c r="J49" s="37"/>
      <c r="K49" s="37"/>
      <c r="L49" s="37"/>
      <c r="M49" s="38" t="str">
        <f aca="false">IF(OR(K49="",K49=0),"",IFERROR(MAX(0,K49-L49),0))</f>
        <v/>
      </c>
      <c r="N49" s="37"/>
      <c r="O49" s="37"/>
      <c r="P49" s="38" t="str">
        <f aca="false">IF(N49="","",IFERROR(N49-O49,0))</f>
        <v/>
      </c>
      <c r="Q49" s="39" t="n">
        <f aca="false">IF(B49="","",IFERROR(IF(U49&lt;&gt;"",U49,IF(T49=1,G49+IFERROR(J49,0)+IFERROR(M49,0)-IFERROR(P49,0),(G49+IFERROR(J49,0)+IFERROR(M49,0)-IFERROR(P49,0))*S49)),0))</f>
        <v>0</v>
      </c>
      <c r="R49" s="38" t="n">
        <f aca="false">IF(B49="","",IFERROR(G49+IFERROR(J49,0)+IFERROR(M49,0)-IFERROR(P49,0),0))</f>
        <v>0</v>
      </c>
      <c r="S49" s="40" t="n">
        <v>0.07</v>
      </c>
      <c r="V49" s="41" t="n">
        <f aca="false">IF(B49="","",IFERROR(H49+IFERROR(J49,0)-IFERROR(N49,0),0))</f>
        <v>4599.29</v>
      </c>
      <c r="W49" s="42" t="n">
        <f aca="false">IF(B49="","",IFERROR(V49-X49,0))</f>
        <v>3977.93</v>
      </c>
      <c r="X49" s="38" t="n">
        <f aca="false">IF(B49="","",IFERROR(I49+Q49-IFERROR(O49,0),0))</f>
        <v>621.36</v>
      </c>
      <c r="Y49" s="0" t="n">
        <v>4599.29</v>
      </c>
    </row>
    <row r="50" customFormat="false" ht="18" hidden="false" customHeight="true" outlineLevel="0" collapsed="false">
      <c r="A50" s="31" t="str">
        <f aca="false">IF(AND(B50&lt;&gt;"",G50&gt;0,OR(G50&lt;500,G50&lt;Y50*0.05)),"⚠","")</f>
        <v/>
      </c>
      <c r="B50" s="32" t="s">
        <v>56</v>
      </c>
      <c r="C50" s="32"/>
      <c r="D50" s="33" t="s">
        <v>88</v>
      </c>
      <c r="E50" s="34" t="s">
        <v>80</v>
      </c>
      <c r="F50" s="43" t="n">
        <v>45292</v>
      </c>
      <c r="G50" s="36" t="n">
        <v>896.7975</v>
      </c>
      <c r="H50" s="37" t="n">
        <v>1195.73</v>
      </c>
      <c r="I50" s="37" t="n">
        <v>298.9325</v>
      </c>
      <c r="J50" s="37"/>
      <c r="K50" s="37"/>
      <c r="L50" s="37"/>
      <c r="M50" s="38" t="str">
        <f aca="false">IF(OR(K50="",K50=0),"",IFERROR(MAX(0,K50-L50),0))</f>
        <v/>
      </c>
      <c r="N50" s="37"/>
      <c r="O50" s="37"/>
      <c r="P50" s="38" t="str">
        <f aca="false">IF(N50="","",IFERROR(N50-O50,0))</f>
        <v/>
      </c>
      <c r="Q50" s="39" t="n">
        <f aca="false">IF(B50="","",IFERROR(IF(U50&lt;&gt;"",U50,IF(T50=1,G50+IFERROR(J50,0)+IFERROR(M50,0)-IFERROR(P50,0),(G50+IFERROR(J50,0)+IFERROR(M50,0)-IFERROR(P50,0))*S50)),0))</f>
        <v>0</v>
      </c>
      <c r="R50" s="38" t="n">
        <f aca="false">IF(B50="","",IFERROR(G50+IFERROR(J50,0)+IFERROR(M50,0)-IFERROR(P50,0),0))</f>
        <v>0</v>
      </c>
      <c r="S50" s="40" t="n">
        <v>0.25</v>
      </c>
      <c r="V50" s="41" t="n">
        <f aca="false">IF(B50="","",IFERROR(H50+IFERROR(J50,0)-IFERROR(N50,0),0))</f>
        <v>1195.73</v>
      </c>
      <c r="W50" s="42" t="n">
        <f aca="false">IF(B50="","",IFERROR(V50-X50,0))</f>
        <v>896.7975</v>
      </c>
      <c r="X50" s="38" t="n">
        <f aca="false">IF(B50="","",IFERROR(I50+Q50-IFERROR(O50,0),0))</f>
        <v>298.9325</v>
      </c>
      <c r="Y50" s="0" t="n">
        <v>1195.73</v>
      </c>
    </row>
    <row r="51" customFormat="false" ht="18" hidden="false" customHeight="true" outlineLevel="0" collapsed="false">
      <c r="A51" s="31" t="str">
        <f aca="false">IF(AND(B51&lt;&gt;"",G51&gt;0,OR(G51&lt;500,G51&lt;Y51*0.05)),"⚠","")</f>
        <v/>
      </c>
      <c r="B51" s="32" t="s">
        <v>56</v>
      </c>
      <c r="C51" s="32"/>
      <c r="D51" s="33" t="s">
        <v>88</v>
      </c>
      <c r="E51" s="34" t="s">
        <v>80</v>
      </c>
      <c r="F51" s="43" t="n">
        <v>45292</v>
      </c>
      <c r="G51" s="36" t="n">
        <v>896.7975</v>
      </c>
      <c r="H51" s="37" t="n">
        <v>1195.73</v>
      </c>
      <c r="I51" s="37" t="n">
        <v>298.9325</v>
      </c>
      <c r="J51" s="37"/>
      <c r="K51" s="37"/>
      <c r="L51" s="37"/>
      <c r="M51" s="38" t="str">
        <f aca="false">IF(OR(K51="",K51=0),"",IFERROR(MAX(0,K51-L51),0))</f>
        <v/>
      </c>
      <c r="N51" s="37"/>
      <c r="O51" s="37"/>
      <c r="P51" s="38" t="str">
        <f aca="false">IF(N51="","",IFERROR(N51-O51,0))</f>
        <v/>
      </c>
      <c r="Q51" s="39" t="n">
        <f aca="false">IF(B51="","",IFERROR(IF(U51&lt;&gt;"",U51,IF(T51=1,G51+IFERROR(J51,0)+IFERROR(M51,0)-IFERROR(P51,0),(G51+IFERROR(J51,0)+IFERROR(M51,0)-IFERROR(P51,0))*S51)),0))</f>
        <v>0</v>
      </c>
      <c r="R51" s="38" t="n">
        <f aca="false">IF(B51="","",IFERROR(G51+IFERROR(J51,0)+IFERROR(M51,0)-IFERROR(P51,0),0))</f>
        <v>0</v>
      </c>
      <c r="S51" s="40" t="n">
        <v>0.25</v>
      </c>
      <c r="V51" s="41" t="n">
        <f aca="false">IF(B51="","",IFERROR(H51+IFERROR(J51,0)-IFERROR(N51,0),0))</f>
        <v>1195.73</v>
      </c>
      <c r="W51" s="42" t="n">
        <f aca="false">IF(B51="","",IFERROR(V51-X51,0))</f>
        <v>896.7975</v>
      </c>
      <c r="X51" s="38" t="n">
        <f aca="false">IF(B51="","",IFERROR(I51+Q51-IFERROR(O51,0),0))</f>
        <v>298.9325</v>
      </c>
      <c r="Y51" s="0" t="n">
        <v>1195.73</v>
      </c>
    </row>
    <row r="52" customFormat="false" ht="18" hidden="false" customHeight="true" outlineLevel="0" collapsed="false">
      <c r="A52" s="31" t="str">
        <f aca="false">IF(AND(B52&lt;&gt;"",G52&gt;0,OR(G52&lt;500,G52&lt;Y52*0.05)),"⚠","")</f>
        <v/>
      </c>
      <c r="B52" s="32" t="s">
        <v>56</v>
      </c>
      <c r="C52" s="32"/>
      <c r="D52" s="33" t="s">
        <v>90</v>
      </c>
      <c r="E52" s="34" t="s">
        <v>80</v>
      </c>
      <c r="F52" s="43" t="n">
        <v>45292</v>
      </c>
      <c r="G52" s="36" t="n">
        <v>952.005</v>
      </c>
      <c r="H52" s="37" t="n">
        <v>1269.34</v>
      </c>
      <c r="I52" s="37" t="n">
        <v>317.335</v>
      </c>
      <c r="J52" s="37"/>
      <c r="K52" s="37"/>
      <c r="L52" s="37"/>
      <c r="M52" s="38" t="str">
        <f aca="false">IF(OR(K52="",K52=0),"",IFERROR(MAX(0,K52-L52),0))</f>
        <v/>
      </c>
      <c r="N52" s="37"/>
      <c r="O52" s="37"/>
      <c r="P52" s="38" t="str">
        <f aca="false">IF(N52="","",IFERROR(N52-O52,0))</f>
        <v/>
      </c>
      <c r="Q52" s="39" t="n">
        <f aca="false">IF(B52="","",IFERROR(IF(U52&lt;&gt;"",U52,IF(T52=1,G52+IFERROR(J52,0)+IFERROR(M52,0)-IFERROR(P52,0),(G52+IFERROR(J52,0)+IFERROR(M52,0)-IFERROR(P52,0))*S52)),0))</f>
        <v>0</v>
      </c>
      <c r="R52" s="38" t="n">
        <f aca="false">IF(B52="","",IFERROR(G52+IFERROR(J52,0)+IFERROR(M52,0)-IFERROR(P52,0),0))</f>
        <v>0</v>
      </c>
      <c r="S52" s="40" t="n">
        <v>0.25</v>
      </c>
      <c r="V52" s="41" t="n">
        <f aca="false">IF(B52="","",IFERROR(H52+IFERROR(J52,0)-IFERROR(N52,0),0))</f>
        <v>1269.34</v>
      </c>
      <c r="W52" s="42" t="n">
        <f aca="false">IF(B52="","",IFERROR(V52-X52,0))</f>
        <v>952.005</v>
      </c>
      <c r="X52" s="38" t="n">
        <f aca="false">IF(B52="","",IFERROR(I52+Q52-IFERROR(O52,0),0))</f>
        <v>317.335</v>
      </c>
      <c r="Y52" s="0" t="n">
        <v>1269.34</v>
      </c>
    </row>
    <row r="53" customFormat="false" ht="18" hidden="false" customHeight="true" outlineLevel="0" collapsed="false">
      <c r="A53" s="31" t="str">
        <f aca="false">IF(AND(B53&lt;&gt;"",G53&gt;0,OR(G53&lt;500,G53&lt;Y53*0.05)),"⚠","")</f>
        <v/>
      </c>
      <c r="B53" s="32" t="s">
        <v>56</v>
      </c>
      <c r="C53" s="32"/>
      <c r="D53" s="33" t="s">
        <v>90</v>
      </c>
      <c r="E53" s="34" t="s">
        <v>80</v>
      </c>
      <c r="F53" s="43" t="n">
        <v>45292</v>
      </c>
      <c r="G53" s="36" t="n">
        <v>952.005</v>
      </c>
      <c r="H53" s="37" t="n">
        <v>1269.34</v>
      </c>
      <c r="I53" s="37" t="n">
        <v>317.335</v>
      </c>
      <c r="J53" s="37"/>
      <c r="K53" s="37"/>
      <c r="L53" s="37"/>
      <c r="M53" s="38" t="str">
        <f aca="false">IF(OR(K53="",K53=0),"",IFERROR(MAX(0,K53-L53),0))</f>
        <v/>
      </c>
      <c r="N53" s="37"/>
      <c r="O53" s="37"/>
      <c r="P53" s="38" t="str">
        <f aca="false">IF(N53="","",IFERROR(N53-O53,0))</f>
        <v/>
      </c>
      <c r="Q53" s="39" t="n">
        <f aca="false">IF(B53="","",IFERROR(IF(U53&lt;&gt;"",U53,IF(T53=1,G53+IFERROR(J53,0)+IFERROR(M53,0)-IFERROR(P53,0),(G53+IFERROR(J53,0)+IFERROR(M53,0)-IFERROR(P53,0))*S53)),0))</f>
        <v>0</v>
      </c>
      <c r="R53" s="38" t="n">
        <f aca="false">IF(B53="","",IFERROR(G53+IFERROR(J53,0)+IFERROR(M53,0)-IFERROR(P53,0),0))</f>
        <v>0</v>
      </c>
      <c r="S53" s="40" t="n">
        <v>0.25</v>
      </c>
      <c r="V53" s="41" t="n">
        <f aca="false">IF(B53="","",IFERROR(H53+IFERROR(J53,0)-IFERROR(N53,0),0))</f>
        <v>1269.34</v>
      </c>
      <c r="W53" s="42" t="n">
        <f aca="false">IF(B53="","",IFERROR(V53-X53,0))</f>
        <v>952.005</v>
      </c>
      <c r="X53" s="38" t="n">
        <f aca="false">IF(B53="","",IFERROR(I53+Q53-IFERROR(O53,0),0))</f>
        <v>317.335</v>
      </c>
      <c r="Y53" s="0" t="n">
        <v>1269.34</v>
      </c>
    </row>
    <row r="54" customFormat="false" ht="18" hidden="false" customHeight="true" outlineLevel="0" collapsed="false">
      <c r="A54" s="31" t="str">
        <f aca="false">IF(AND(B54&lt;&gt;"",G54&gt;0,OR(G54&lt;500,G54&lt;Y54*0.05)),"⚠","")</f>
        <v/>
      </c>
      <c r="B54" s="32" t="s">
        <v>56</v>
      </c>
      <c r="C54" s="32"/>
      <c r="D54" s="33" t="s">
        <v>90</v>
      </c>
      <c r="E54" s="34" t="s">
        <v>80</v>
      </c>
      <c r="F54" s="43" t="n">
        <v>45292</v>
      </c>
      <c r="G54" s="36" t="n">
        <v>952.005</v>
      </c>
      <c r="H54" s="37" t="n">
        <v>1269.34</v>
      </c>
      <c r="I54" s="37" t="n">
        <v>317.335</v>
      </c>
      <c r="J54" s="37"/>
      <c r="K54" s="37"/>
      <c r="L54" s="37"/>
      <c r="M54" s="38" t="str">
        <f aca="false">IF(OR(K54="",K54=0),"",IFERROR(MAX(0,K54-L54),0))</f>
        <v/>
      </c>
      <c r="N54" s="37"/>
      <c r="O54" s="37"/>
      <c r="P54" s="38" t="str">
        <f aca="false">IF(N54="","",IFERROR(N54-O54,0))</f>
        <v/>
      </c>
      <c r="Q54" s="39" t="n">
        <f aca="false">IF(B54="","",IFERROR(IF(U54&lt;&gt;"",U54,IF(T54=1,G54+IFERROR(J54,0)+IFERROR(M54,0)-IFERROR(P54,0),(G54+IFERROR(J54,0)+IFERROR(M54,0)-IFERROR(P54,0))*S54)),0))</f>
        <v>0</v>
      </c>
      <c r="R54" s="38" t="n">
        <f aca="false">IF(B54="","",IFERROR(G54+IFERROR(J54,0)+IFERROR(M54,0)-IFERROR(P54,0),0))</f>
        <v>0</v>
      </c>
      <c r="S54" s="40" t="n">
        <v>0.25</v>
      </c>
      <c r="V54" s="41" t="n">
        <f aca="false">IF(B54="","",IFERROR(H54+IFERROR(J54,0)-IFERROR(N54,0),0))</f>
        <v>1269.34</v>
      </c>
      <c r="W54" s="42" t="n">
        <f aca="false">IF(B54="","",IFERROR(V54-X54,0))</f>
        <v>952.005</v>
      </c>
      <c r="X54" s="38" t="n">
        <f aca="false">IF(B54="","",IFERROR(I54+Q54-IFERROR(O54,0),0))</f>
        <v>317.335</v>
      </c>
      <c r="Y54" s="0" t="n">
        <v>1269.34</v>
      </c>
    </row>
    <row r="55" customFormat="false" ht="18" hidden="false" customHeight="true" outlineLevel="0" collapsed="false">
      <c r="A55" s="31" t="str">
        <f aca="false">IF(AND(B55&lt;&gt;"",G55&gt;0,OR(G55&lt;500,G55&lt;Y55*0.05)),"⚠","")</f>
        <v/>
      </c>
      <c r="B55" s="32" t="s">
        <v>56</v>
      </c>
      <c r="C55" s="32"/>
      <c r="D55" s="33" t="s">
        <v>95</v>
      </c>
      <c r="E55" s="34" t="s">
        <v>96</v>
      </c>
      <c r="F55" s="43" t="n">
        <v>45658</v>
      </c>
      <c r="G55" s="36" t="n">
        <v>994.155</v>
      </c>
      <c r="H55" s="37" t="n">
        <v>1325.54</v>
      </c>
      <c r="I55" s="37" t="n">
        <v>331.385</v>
      </c>
      <c r="J55" s="37"/>
      <c r="K55" s="37"/>
      <c r="L55" s="37"/>
      <c r="M55" s="38" t="str">
        <f aca="false">IF(OR(K55="",K55=0),"",IFERROR(MAX(0,K55-L55),0))</f>
        <v/>
      </c>
      <c r="N55" s="37"/>
      <c r="O55" s="37"/>
      <c r="P55" s="38" t="str">
        <f aca="false">IF(N55="","",IFERROR(N55-O55,0))</f>
        <v/>
      </c>
      <c r="Q55" s="39" t="n">
        <f aca="false">IF(B55="","",IFERROR(IF(U55&lt;&gt;"",U55,IF(T55=1,G55+IFERROR(J55,0)+IFERROR(M55,0)-IFERROR(P55,0),(G55+IFERROR(J55,0)+IFERROR(M55,0)-IFERROR(P55,0))*S55)),0))</f>
        <v>0</v>
      </c>
      <c r="R55" s="38" t="n">
        <f aca="false">IF(B55="","",IFERROR(G55+IFERROR(J55,0)+IFERROR(M55,0)-IFERROR(P55,0),0))</f>
        <v>0</v>
      </c>
      <c r="S55" s="40" t="n">
        <v>0.25</v>
      </c>
      <c r="V55" s="41" t="n">
        <f aca="false">IF(B55="","",IFERROR(H55+IFERROR(J55,0)-IFERROR(N55,0),0))</f>
        <v>1325.54</v>
      </c>
      <c r="W55" s="42" t="n">
        <f aca="false">IF(B55="","",IFERROR(V55-X55,0))</f>
        <v>994.155</v>
      </c>
      <c r="X55" s="38" t="n">
        <f aca="false">IF(B55="","",IFERROR(I55+Q55-IFERROR(O55,0),0))</f>
        <v>331.385</v>
      </c>
      <c r="Y55" s="0" t="n">
        <v>1325.54</v>
      </c>
    </row>
    <row r="56" customFormat="false" ht="18" hidden="false" customHeight="true" outlineLevel="0" collapsed="false">
      <c r="A56" s="31" t="str">
        <f aca="false">IF(AND(B56&lt;&gt;"",G56&gt;0,OR(G56&lt;500,G56&lt;Y56*0.05)),"⚠","")</f>
        <v/>
      </c>
      <c r="B56" s="32" t="s">
        <v>57</v>
      </c>
      <c r="C56" s="32"/>
      <c r="D56" s="33" t="s">
        <v>97</v>
      </c>
      <c r="E56" s="34" t="s">
        <v>89</v>
      </c>
      <c r="F56" s="43" t="n">
        <v>45658</v>
      </c>
      <c r="G56" s="36" t="n">
        <v>847.37</v>
      </c>
      <c r="H56" s="37" t="n">
        <v>847.37</v>
      </c>
      <c r="I56" s="37"/>
      <c r="J56" s="37"/>
      <c r="K56" s="37"/>
      <c r="L56" s="37"/>
      <c r="M56" s="38" t="str">
        <f aca="false">IF(OR(K56="",K56=0),"",IFERROR(MAX(0,K56-L56),0))</f>
        <v/>
      </c>
      <c r="N56" s="37"/>
      <c r="O56" s="37"/>
      <c r="P56" s="38" t="str">
        <f aca="false">IF(N56="","",IFERROR(N56-O56,0))</f>
        <v/>
      </c>
      <c r="Q56" s="39" t="n">
        <f aca="false">IF(B56="","",IFERROR(IF(U56&lt;&gt;"",U56,IF(T56=1,G56+IFERROR(J56,0)+IFERROR(M56,0)-IFERROR(P56,0),(G56+IFERROR(J56,0)+IFERROR(M56,0)-IFERROR(P56,0))*S56)),0))</f>
        <v>0</v>
      </c>
      <c r="R56" s="38" t="n">
        <f aca="false">IF(B56="","",IFERROR(G56+IFERROR(J56,0)+IFERROR(M56,0)-IFERROR(P56,0),0))</f>
        <v>0</v>
      </c>
      <c r="S56" s="40" t="n">
        <v>0.2</v>
      </c>
      <c r="V56" s="41" t="n">
        <f aca="false">IF(B56="","",IFERROR(H56+IFERROR(J56,0)-IFERROR(N56,0),0))</f>
        <v>847.37</v>
      </c>
      <c r="W56" s="42" t="n">
        <f aca="false">IF(B56="","",IFERROR(V56-X56,0))</f>
        <v>847.37</v>
      </c>
      <c r="X56" s="38" t="n">
        <f aca="false">IF(B56="","",IFERROR(I56+Q56-IFERROR(O56,0),0))</f>
        <v>0</v>
      </c>
      <c r="Y56" s="0" t="n">
        <v>847.37</v>
      </c>
    </row>
    <row r="57" customFormat="false" ht="18" hidden="false" customHeight="true" outlineLevel="0" collapsed="false">
      <c r="A57" s="31" t="str">
        <f aca="false">IF(AND(B57&lt;&gt;"",G57&gt;0,OR(G57&lt;500,G57&lt;Y57*0.05)),"⚠","")</f>
        <v/>
      </c>
      <c r="B57" s="32" t="s">
        <v>56</v>
      </c>
      <c r="C57" s="32"/>
      <c r="D57" s="33" t="s">
        <v>98</v>
      </c>
      <c r="E57" s="34" t="s">
        <v>89</v>
      </c>
      <c r="F57" s="43" t="n">
        <v>45658</v>
      </c>
      <c r="G57" s="36" t="n">
        <v>1238.99</v>
      </c>
      <c r="H57" s="37" t="n">
        <v>1238.99</v>
      </c>
      <c r="I57" s="37"/>
      <c r="J57" s="37"/>
      <c r="K57" s="37"/>
      <c r="L57" s="37"/>
      <c r="M57" s="38" t="str">
        <f aca="false">IF(OR(K57="",K57=0),"",IFERROR(MAX(0,K57-L57),0))</f>
        <v/>
      </c>
      <c r="N57" s="37"/>
      <c r="O57" s="37"/>
      <c r="P57" s="38" t="str">
        <f aca="false">IF(N57="","",IFERROR(N57-O57,0))</f>
        <v/>
      </c>
      <c r="Q57" s="39" t="n">
        <f aca="false">IF(B57="","",IFERROR(IF(U57&lt;&gt;"",U57,IF(T57=1,G57+IFERROR(J57,0)+IFERROR(M57,0)-IFERROR(P57,0),(G57+IFERROR(J57,0)+IFERROR(M57,0)-IFERROR(P57,0))*S57)),0))</f>
        <v>0</v>
      </c>
      <c r="R57" s="38" t="n">
        <f aca="false">IF(B57="","",IFERROR(G57+IFERROR(J57,0)+IFERROR(M57,0)-IFERROR(P57,0),0))</f>
        <v>0</v>
      </c>
      <c r="S57" s="40" t="n">
        <v>0.25</v>
      </c>
      <c r="V57" s="41" t="n">
        <f aca="false">IF(B57="","",IFERROR(H57+IFERROR(J57,0)-IFERROR(N57,0),0))</f>
        <v>1238.99</v>
      </c>
      <c r="W57" s="42" t="n">
        <f aca="false">IF(B57="","",IFERROR(V57-X57,0))</f>
        <v>1238.99</v>
      </c>
      <c r="X57" s="38" t="n">
        <f aca="false">IF(B57="","",IFERROR(I57+Q57-IFERROR(O57,0),0))</f>
        <v>0</v>
      </c>
      <c r="Y57" s="0" t="n">
        <v>1238.99</v>
      </c>
    </row>
    <row r="58" customFormat="false" ht="18" hidden="false" customHeight="true" outlineLevel="0" collapsed="false">
      <c r="A58" s="31" t="str">
        <f aca="false">IF(AND(B58&lt;&gt;"",G58&gt;0,OR(G58&lt;500,G58&lt;Y58*0.05)),"⚠","")</f>
        <v/>
      </c>
      <c r="B58" s="32" t="s">
        <v>56</v>
      </c>
      <c r="C58" s="32"/>
      <c r="D58" s="33" t="s">
        <v>98</v>
      </c>
      <c r="E58" s="34" t="s">
        <v>89</v>
      </c>
      <c r="F58" s="43" t="n">
        <v>45658</v>
      </c>
      <c r="G58" s="36" t="n">
        <v>1238.99</v>
      </c>
      <c r="H58" s="37" t="n">
        <v>1238.99</v>
      </c>
      <c r="I58" s="37"/>
      <c r="J58" s="37"/>
      <c r="K58" s="37"/>
      <c r="L58" s="37"/>
      <c r="M58" s="38" t="str">
        <f aca="false">IF(OR(K58="",K58=0),"",IFERROR(MAX(0,K58-L58),0))</f>
        <v/>
      </c>
      <c r="N58" s="37"/>
      <c r="O58" s="37"/>
      <c r="P58" s="38" t="str">
        <f aca="false">IF(N58="","",IFERROR(N58-O58,0))</f>
        <v/>
      </c>
      <c r="Q58" s="39" t="n">
        <f aca="false">IF(B58="","",IFERROR(IF(U58&lt;&gt;"",U58,IF(T58=1,G58+IFERROR(J58,0)+IFERROR(M58,0)-IFERROR(P58,0),(G58+IFERROR(J58,0)+IFERROR(M58,0)-IFERROR(P58,0))*S58)),0))</f>
        <v>0</v>
      </c>
      <c r="R58" s="38" t="n">
        <f aca="false">IF(B58="","",IFERROR(G58+IFERROR(J58,0)+IFERROR(M58,0)-IFERROR(P58,0),0))</f>
        <v>0</v>
      </c>
      <c r="S58" s="40" t="n">
        <v>0.25</v>
      </c>
      <c r="V58" s="41" t="n">
        <f aca="false">IF(B58="","",IFERROR(H58+IFERROR(J58,0)-IFERROR(N58,0),0))</f>
        <v>1238.99</v>
      </c>
      <c r="W58" s="42" t="n">
        <f aca="false">IF(B58="","",IFERROR(V58-X58,0))</f>
        <v>1238.99</v>
      </c>
      <c r="X58" s="38" t="n">
        <f aca="false">IF(B58="","",IFERROR(I58+Q58-IFERROR(O58,0),0))</f>
        <v>0</v>
      </c>
      <c r="Y58" s="0" t="n">
        <v>1238.99</v>
      </c>
    </row>
    <row r="59" customFormat="false" ht="18" hidden="false" customHeight="true" outlineLevel="0" collapsed="false">
      <c r="A59" s="31" t="str">
        <f aca="false">IF(AND(B59&lt;&gt;"",G59&gt;0,OR(G59&lt;500,G59&lt;Y59*0.05)),"⚠","")</f>
        <v/>
      </c>
      <c r="B59" s="32" t="s">
        <v>56</v>
      </c>
      <c r="C59" s="32"/>
      <c r="D59" s="33" t="s">
        <v>95</v>
      </c>
      <c r="E59" s="34" t="s">
        <v>89</v>
      </c>
      <c r="F59" s="43" t="n">
        <v>45658</v>
      </c>
      <c r="G59" s="36" t="n">
        <v>1440.93</v>
      </c>
      <c r="H59" s="37" t="n">
        <v>1440.93</v>
      </c>
      <c r="I59" s="37"/>
      <c r="J59" s="37"/>
      <c r="K59" s="37"/>
      <c r="L59" s="37"/>
      <c r="M59" s="38" t="str">
        <f aca="false">IF(OR(K59="",K59=0),"",IFERROR(MAX(0,K59-L59),0))</f>
        <v/>
      </c>
      <c r="N59" s="37"/>
      <c r="O59" s="37"/>
      <c r="P59" s="38" t="str">
        <f aca="false">IF(N59="","",IFERROR(N59-O59,0))</f>
        <v/>
      </c>
      <c r="Q59" s="39" t="n">
        <f aca="false">IF(B59="","",IFERROR(IF(U59&lt;&gt;"",U59,IF(T59=1,G59+IFERROR(J59,0)+IFERROR(M59,0)-IFERROR(P59,0),(G59+IFERROR(J59,0)+IFERROR(M59,0)-IFERROR(P59,0))*S59)),0))</f>
        <v>0</v>
      </c>
      <c r="R59" s="38" t="n">
        <f aca="false">IF(B59="","",IFERROR(G59+IFERROR(J59,0)+IFERROR(M59,0)-IFERROR(P59,0),0))</f>
        <v>0</v>
      </c>
      <c r="S59" s="40" t="n">
        <v>0.25</v>
      </c>
      <c r="V59" s="41" t="n">
        <f aca="false">IF(B59="","",IFERROR(H59+IFERROR(J59,0)-IFERROR(N59,0),0))</f>
        <v>1440.93</v>
      </c>
      <c r="W59" s="42" t="n">
        <f aca="false">IF(B59="","",IFERROR(V59-X59,0))</f>
        <v>1440.93</v>
      </c>
      <c r="X59" s="38" t="n">
        <f aca="false">IF(B59="","",IFERROR(I59+Q59-IFERROR(O59,0),0))</f>
        <v>0</v>
      </c>
      <c r="Y59" s="0" t="n">
        <v>1440.93</v>
      </c>
    </row>
    <row r="60" customFormat="false" ht="18" hidden="false" customHeight="true" outlineLevel="0" collapsed="false">
      <c r="A60" s="31" t="str">
        <f aca="false">IF(AND(B60&lt;&gt;"",G60&gt;0,OR(G60&lt;500,G60&lt;Y60*0.05)),"⚠","")</f>
        <v/>
      </c>
      <c r="B60" s="32" t="s">
        <v>52</v>
      </c>
      <c r="C60" s="32"/>
      <c r="D60" s="33" t="s">
        <v>59</v>
      </c>
      <c r="E60" s="34" t="s">
        <v>60</v>
      </c>
      <c r="F60" s="43" t="n">
        <v>45658</v>
      </c>
      <c r="G60" s="36" t="n">
        <v>5562.07</v>
      </c>
      <c r="H60" s="37" t="n">
        <v>5562.07</v>
      </c>
      <c r="I60" s="37"/>
      <c r="J60" s="37"/>
      <c r="K60" s="37"/>
      <c r="L60" s="37"/>
      <c r="M60" s="38" t="str">
        <f aca="false">IF(OR(K60="",K60=0),"",IFERROR(MAX(0,K60-L60),0))</f>
        <v/>
      </c>
      <c r="N60" s="37"/>
      <c r="O60" s="37"/>
      <c r="P60" s="38" t="str">
        <f aca="false">IF(N60="","",IFERROR(N60-O60,0))</f>
        <v/>
      </c>
      <c r="Q60" s="39" t="n">
        <f aca="false">IF(B60="","",IFERROR(IF(U60&lt;&gt;"",U60,IF(T60=1,G60+IFERROR(J60,0)+IFERROR(M60,0)-IFERROR(P60,0),(G60+IFERROR(J60,0)+IFERROR(M60,0)-IFERROR(P60,0))*S60)),0))</f>
        <v>0</v>
      </c>
      <c r="R60" s="38" t="n">
        <f aca="false">IF(B60="","",IFERROR(G60+IFERROR(J60,0)+IFERROR(M60,0)-IFERROR(P60,0),0))</f>
        <v>0</v>
      </c>
      <c r="S60" s="40" t="n">
        <v>0.07</v>
      </c>
      <c r="V60" s="41" t="n">
        <f aca="false">IF(B60="","",IFERROR(H60+IFERROR(J60,0)-IFERROR(N60,0),0))</f>
        <v>5562.07</v>
      </c>
      <c r="W60" s="42" t="n">
        <f aca="false">IF(B60="","",IFERROR(V60-X60,0))</f>
        <v>5562.07</v>
      </c>
      <c r="X60" s="38" t="n">
        <f aca="false">IF(B60="","",IFERROR(I60+Q60-IFERROR(O60,0),0))</f>
        <v>0</v>
      </c>
      <c r="Y60" s="0" t="n">
        <v>5562.07</v>
      </c>
    </row>
    <row r="61" customFormat="false" ht="18" hidden="false" customHeight="true" outlineLevel="0" collapsed="false">
      <c r="A61" s="31" t="str">
        <f aca="false">IF(AND(B61&lt;&gt;"",G61&gt;0,OR(G61&lt;500,G61&lt;Y61*0.05)),"⚠","")</f>
        <v/>
      </c>
      <c r="B61" s="32" t="s">
        <v>52</v>
      </c>
      <c r="C61" s="32"/>
      <c r="D61" s="33" t="s">
        <v>59</v>
      </c>
      <c r="E61" s="34" t="s">
        <v>99</v>
      </c>
      <c r="F61" s="43" t="n">
        <v>45658</v>
      </c>
      <c r="G61" s="36" t="n">
        <v>901</v>
      </c>
      <c r="H61" s="37" t="n">
        <v>901</v>
      </c>
      <c r="I61" s="37"/>
      <c r="J61" s="37"/>
      <c r="K61" s="37"/>
      <c r="L61" s="37"/>
      <c r="M61" s="38" t="str">
        <f aca="false">IF(OR(K61="",K61=0),"",IFERROR(MAX(0,K61-L61),0))</f>
        <v/>
      </c>
      <c r="N61" s="37"/>
      <c r="O61" s="37"/>
      <c r="P61" s="38" t="str">
        <f aca="false">IF(N61="","",IFERROR(N61-O61,0))</f>
        <v/>
      </c>
      <c r="Q61" s="39" t="n">
        <f aca="false">IF(B61="","",IFERROR(IF(U61&lt;&gt;"",U61,IF(T61=1,G61+IFERROR(J61,0)+IFERROR(M61,0)-IFERROR(P61,0),(G61+IFERROR(J61,0)+IFERROR(M61,0)-IFERROR(P61,0))*S61)),0))</f>
        <v>0</v>
      </c>
      <c r="R61" s="38" t="n">
        <f aca="false">IF(B61="","",IFERROR(G61+IFERROR(J61,0)+IFERROR(M61,0)-IFERROR(P61,0),0))</f>
        <v>0</v>
      </c>
      <c r="S61" s="40" t="n">
        <v>0.07</v>
      </c>
      <c r="V61" s="41" t="n">
        <f aca="false">IF(B61="","",IFERROR(H61+IFERROR(J61,0)-IFERROR(N61,0),0))</f>
        <v>901</v>
      </c>
      <c r="W61" s="42" t="n">
        <f aca="false">IF(B61="","",IFERROR(V61-X61,0))</f>
        <v>901</v>
      </c>
      <c r="X61" s="38" t="n">
        <f aca="false">IF(B61="","",IFERROR(I61+Q61-IFERROR(O61,0),0))</f>
        <v>0</v>
      </c>
      <c r="Y61" s="0" t="n">
        <v>901</v>
      </c>
    </row>
    <row r="62" customFormat="false" ht="18" hidden="false" customHeight="true" outlineLevel="0" collapsed="false">
      <c r="A62" s="31" t="str">
        <f aca="false">IF(AND(B62&lt;&gt;"",G62&gt;0,OR(G62&lt;500,G62&lt;Y62*0.05)),"⚠","")</f>
        <v/>
      </c>
      <c r="B62" s="32" t="s">
        <v>56</v>
      </c>
      <c r="C62" s="32"/>
      <c r="D62" s="33" t="s">
        <v>100</v>
      </c>
      <c r="E62" s="34" t="s">
        <v>101</v>
      </c>
      <c r="F62" s="43" t="n">
        <v>45658</v>
      </c>
      <c r="G62" s="36" t="n">
        <v>746</v>
      </c>
      <c r="H62" s="37" t="n">
        <v>746</v>
      </c>
      <c r="I62" s="37"/>
      <c r="J62" s="37"/>
      <c r="K62" s="37"/>
      <c r="L62" s="37"/>
      <c r="M62" s="38" t="str">
        <f aca="false">IF(OR(K62="",K62=0),"",IFERROR(MAX(0,K62-L62),0))</f>
        <v/>
      </c>
      <c r="N62" s="37"/>
      <c r="O62" s="37"/>
      <c r="P62" s="38" t="str">
        <f aca="false">IF(N62="","",IFERROR(N62-O62,0))</f>
        <v/>
      </c>
      <c r="Q62" s="39" t="n">
        <f aca="false">IF(B62="","",IFERROR(IF(U62&lt;&gt;"",U62,IF(T62=1,G62+IFERROR(J62,0)+IFERROR(M62,0)-IFERROR(P62,0),(G62+IFERROR(J62,0)+IFERROR(M62,0)-IFERROR(P62,0))*S62)),0))</f>
        <v>0</v>
      </c>
      <c r="R62" s="38" t="n">
        <f aca="false">IF(B62="","",IFERROR(G62+IFERROR(J62,0)+IFERROR(M62,0)-IFERROR(P62,0),0))</f>
        <v>0</v>
      </c>
      <c r="S62" s="40" t="n">
        <v>0.25</v>
      </c>
      <c r="V62" s="41" t="n">
        <f aca="false">IF(B62="","",IFERROR(H62+IFERROR(J62,0)-IFERROR(N62,0),0))</f>
        <v>746</v>
      </c>
      <c r="W62" s="42" t="n">
        <f aca="false">IF(B62="","",IFERROR(V62-X62,0))</f>
        <v>746</v>
      </c>
      <c r="X62" s="38" t="n">
        <f aca="false">IF(B62="","",IFERROR(I62+Q62-IFERROR(O62,0),0))</f>
        <v>0</v>
      </c>
      <c r="Y62" s="0" t="n">
        <v>746</v>
      </c>
    </row>
    <row r="63" customFormat="false" ht="18" hidden="false" customHeight="true" outlineLevel="0" collapsed="false">
      <c r="A63" s="31" t="str">
        <f aca="false">IF(AND(B63&lt;&gt;"",G63&gt;0,OR(G63&lt;500,G63&lt;Y63*0.05)),"⚠","")</f>
        <v/>
      </c>
      <c r="B63" s="32" t="s">
        <v>56</v>
      </c>
      <c r="C63" s="32"/>
      <c r="D63" s="33" t="s">
        <v>102</v>
      </c>
      <c r="E63" s="34" t="s">
        <v>74</v>
      </c>
      <c r="F63" s="43" t="n">
        <v>45658</v>
      </c>
      <c r="G63" s="36" t="n">
        <v>3740</v>
      </c>
      <c r="H63" s="37" t="n">
        <v>3740</v>
      </c>
      <c r="I63" s="37"/>
      <c r="J63" s="37"/>
      <c r="K63" s="37"/>
      <c r="L63" s="37"/>
      <c r="M63" s="38" t="str">
        <f aca="false">IF(OR(K63="",K63=0),"",IFERROR(MAX(0,K63-L63),0))</f>
        <v/>
      </c>
      <c r="N63" s="37"/>
      <c r="O63" s="37"/>
      <c r="P63" s="38" t="str">
        <f aca="false">IF(N63="","",IFERROR(N63-O63,0))</f>
        <v/>
      </c>
      <c r="Q63" s="39" t="n">
        <f aca="false">IF(B63="","",IFERROR(IF(U63&lt;&gt;"",U63,IF(T63=1,G63+IFERROR(J63,0)+IFERROR(M63,0)-IFERROR(P63,0),(G63+IFERROR(J63,0)+IFERROR(M63,0)-IFERROR(P63,0))*S63)),0))</f>
        <v>0</v>
      </c>
      <c r="R63" s="38" t="n">
        <f aca="false">IF(B63="","",IFERROR(G63+IFERROR(J63,0)+IFERROR(M63,0)-IFERROR(P63,0),0))</f>
        <v>0</v>
      </c>
      <c r="S63" s="40" t="n">
        <v>0.25</v>
      </c>
      <c r="V63" s="41" t="n">
        <f aca="false">IF(B63="","",IFERROR(H63+IFERROR(J63,0)-IFERROR(N63,0),0))</f>
        <v>3740</v>
      </c>
      <c r="W63" s="42" t="n">
        <f aca="false">IF(B63="","",IFERROR(V63-X63,0))</f>
        <v>3740</v>
      </c>
      <c r="X63" s="38" t="n">
        <f aca="false">IF(B63="","",IFERROR(I63+Q63-IFERROR(O63,0),0))</f>
        <v>0</v>
      </c>
      <c r="Y63" s="0" t="n">
        <v>3740</v>
      </c>
    </row>
    <row r="64" customFormat="false" ht="18" hidden="false" customHeight="true" outlineLevel="0" collapsed="false">
      <c r="A64" s="31" t="str">
        <f aca="false">IF(AND(B64&lt;&gt;"",G64&gt;0,OR(G64&lt;500,G64&lt;Y64*0.05)),"⚠","")</f>
        <v/>
      </c>
      <c r="B64" s="32" t="s">
        <v>56</v>
      </c>
      <c r="C64" s="32"/>
      <c r="D64" s="33" t="s">
        <v>103</v>
      </c>
      <c r="E64" s="34" t="s">
        <v>104</v>
      </c>
      <c r="F64" s="43" t="n">
        <v>45658</v>
      </c>
      <c r="G64" s="36" t="n">
        <v>881.36</v>
      </c>
      <c r="H64" s="37" t="n">
        <v>881.36</v>
      </c>
      <c r="I64" s="37"/>
      <c r="J64" s="37"/>
      <c r="K64" s="37"/>
      <c r="L64" s="37"/>
      <c r="M64" s="38" t="str">
        <f aca="false">IF(OR(K64="",K64=0),"",IFERROR(MAX(0,K64-L64),0))</f>
        <v/>
      </c>
      <c r="N64" s="37"/>
      <c r="O64" s="37"/>
      <c r="P64" s="38" t="str">
        <f aca="false">IF(N64="","",IFERROR(N64-O64,0))</f>
        <v/>
      </c>
      <c r="Q64" s="39" t="n">
        <f aca="false">IF(B64="","",IFERROR(IF(U64&lt;&gt;"",U64,IF(T64=1,G64+IFERROR(J64,0)+IFERROR(M64,0)-IFERROR(P64,0),(G64+IFERROR(J64,0)+IFERROR(M64,0)-IFERROR(P64,0))*S64)),0))</f>
        <v>0</v>
      </c>
      <c r="R64" s="38" t="n">
        <f aca="false">IF(B64="","",IFERROR(G64+IFERROR(J64,0)+IFERROR(M64,0)-IFERROR(P64,0),0))</f>
        <v>0</v>
      </c>
      <c r="S64" s="40" t="n">
        <v>0.25</v>
      </c>
      <c r="V64" s="41" t="n">
        <f aca="false">IF(B64="","",IFERROR(H64+IFERROR(J64,0)-IFERROR(N64,0),0))</f>
        <v>881.36</v>
      </c>
      <c r="W64" s="42" t="n">
        <f aca="false">IF(B64="","",IFERROR(V64-X64,0))</f>
        <v>881.36</v>
      </c>
      <c r="X64" s="38" t="n">
        <f aca="false">IF(B64="","",IFERROR(I64+Q64-IFERROR(O64,0),0))</f>
        <v>0</v>
      </c>
      <c r="Y64" s="0" t="n">
        <v>881.36</v>
      </c>
    </row>
    <row r="65" customFormat="false" ht="18" hidden="false" customHeight="true" outlineLevel="0" collapsed="false">
      <c r="A65" s="31" t="str">
        <f aca="false">IF(AND(B65&lt;&gt;"",G65&gt;0,OR(G65&lt;500,G65&lt;Y65*0.05)),"⚠","")</f>
        <v>⚠</v>
      </c>
      <c r="B65" s="32" t="s">
        <v>56</v>
      </c>
      <c r="C65" s="32"/>
      <c r="D65" s="33" t="s">
        <v>103</v>
      </c>
      <c r="E65" s="34" t="s">
        <v>104</v>
      </c>
      <c r="F65" s="43" t="n">
        <v>45658</v>
      </c>
      <c r="G65" s="36" t="n">
        <v>145</v>
      </c>
      <c r="H65" s="37" t="n">
        <v>145</v>
      </c>
      <c r="I65" s="37"/>
      <c r="J65" s="37"/>
      <c r="K65" s="37"/>
      <c r="L65" s="37"/>
      <c r="M65" s="38" t="str">
        <f aca="false">IF(OR(K65="",K65=0),"",IFERROR(MAX(0,K65-L65),0))</f>
        <v/>
      </c>
      <c r="N65" s="37"/>
      <c r="O65" s="37"/>
      <c r="P65" s="38" t="str">
        <f aca="false">IF(N65="","",IFERROR(N65-O65,0))</f>
        <v/>
      </c>
      <c r="Q65" s="39" t="n">
        <f aca="false">IF(B65="","",IFERROR(IF(U65&lt;&gt;"",U65,IF(T65=1,G65+IFERROR(J65,0)+IFERROR(M65,0)-IFERROR(P65,0),(G65+IFERROR(J65,0)+IFERROR(M65,0)-IFERROR(P65,0))*S65)),0))</f>
        <v>0</v>
      </c>
      <c r="R65" s="38" t="n">
        <f aca="false">IF(B65="","",IFERROR(G65+IFERROR(J65,0)+IFERROR(M65,0)-IFERROR(P65,0),0))</f>
        <v>0</v>
      </c>
      <c r="S65" s="40" t="n">
        <v>1</v>
      </c>
      <c r="T65" s="0" t="n">
        <v>1</v>
      </c>
      <c r="V65" s="41" t="n">
        <f aca="false">IF(B65="","",IFERROR(H65+IFERROR(J65,0)-IFERROR(N65,0),0))</f>
        <v>145</v>
      </c>
      <c r="W65" s="42" t="n">
        <f aca="false">IF(B65="","",IFERROR(V65-X65,0))</f>
        <v>145</v>
      </c>
      <c r="X65" s="38" t="n">
        <f aca="false">IF(B65="","",IFERROR(I65+Q65-IFERROR(O65,0),0))</f>
        <v>0</v>
      </c>
      <c r="Y65" s="0" t="n">
        <v>145</v>
      </c>
    </row>
    <row r="66" customFormat="false" ht="18" hidden="false" customHeight="true" outlineLevel="0" collapsed="false">
      <c r="A66" s="31" t="str">
        <f aca="false">IF(AND(B66&lt;&gt;"",G66&gt;0,OR(G66&lt;500,G66&lt;Y66*0.05)),"⚠","")</f>
        <v/>
      </c>
      <c r="B66" s="32" t="s">
        <v>56</v>
      </c>
      <c r="C66" s="32"/>
      <c r="D66" s="33" t="s">
        <v>98</v>
      </c>
      <c r="E66" s="34" t="s">
        <v>80</v>
      </c>
      <c r="F66" s="43" t="n">
        <v>45658</v>
      </c>
      <c r="G66" s="36" t="n">
        <v>1282.27</v>
      </c>
      <c r="H66" s="37" t="n">
        <v>1282.27</v>
      </c>
      <c r="I66" s="37"/>
      <c r="J66" s="37"/>
      <c r="K66" s="37"/>
      <c r="L66" s="37"/>
      <c r="M66" s="38" t="str">
        <f aca="false">IF(OR(K66="",K66=0),"",IFERROR(MAX(0,K66-L66),0))</f>
        <v/>
      </c>
      <c r="N66" s="37"/>
      <c r="O66" s="37"/>
      <c r="P66" s="38" t="str">
        <f aca="false">IF(N66="","",IFERROR(N66-O66,0))</f>
        <v/>
      </c>
      <c r="Q66" s="39" t="n">
        <f aca="false">IF(B66="","",IFERROR(IF(U66&lt;&gt;"",U66,IF(T66=1,G66+IFERROR(J66,0)+IFERROR(M66,0)-IFERROR(P66,0),(G66+IFERROR(J66,0)+IFERROR(M66,0)-IFERROR(P66,0))*S66)),0))</f>
        <v>0</v>
      </c>
      <c r="R66" s="38" t="n">
        <f aca="false">IF(B66="","",IFERROR(G66+IFERROR(J66,0)+IFERROR(M66,0)-IFERROR(P66,0),0))</f>
        <v>0</v>
      </c>
      <c r="S66" s="40" t="n">
        <v>0.25</v>
      </c>
      <c r="V66" s="41" t="n">
        <f aca="false">IF(B66="","",IFERROR(H66+IFERROR(J66,0)-IFERROR(N66,0),0))</f>
        <v>1282.27</v>
      </c>
      <c r="W66" s="42" t="n">
        <f aca="false">IF(B66="","",IFERROR(V66-X66,0))</f>
        <v>1282.27</v>
      </c>
      <c r="X66" s="38" t="n">
        <f aca="false">IF(B66="","",IFERROR(I66+Q66-IFERROR(O66,0),0))</f>
        <v>0</v>
      </c>
      <c r="Y66" s="0" t="n">
        <v>1282.27</v>
      </c>
    </row>
    <row r="67" customFormat="false" ht="18" hidden="false" customHeight="true" outlineLevel="0" collapsed="false">
      <c r="A67" s="31" t="str">
        <f aca="false">IF(AND(B67&lt;&gt;"",G67&gt;0,OR(G67&lt;500,G67&lt;Y67*0.05)),"⚠","")</f>
        <v/>
      </c>
      <c r="B67" s="32" t="s">
        <v>56</v>
      </c>
      <c r="C67" s="32"/>
      <c r="D67" s="33" t="s">
        <v>105</v>
      </c>
      <c r="E67" s="34" t="s">
        <v>104</v>
      </c>
      <c r="F67" s="43" t="n">
        <v>45658</v>
      </c>
      <c r="G67" s="36" t="n">
        <v>2559.32</v>
      </c>
      <c r="H67" s="37" t="n">
        <v>2559.32</v>
      </c>
      <c r="I67" s="37"/>
      <c r="J67" s="37"/>
      <c r="K67" s="37"/>
      <c r="L67" s="37"/>
      <c r="M67" s="38" t="str">
        <f aca="false">IF(OR(K67="",K67=0),"",IFERROR(MAX(0,K67-L67),0))</f>
        <v/>
      </c>
      <c r="N67" s="37"/>
      <c r="O67" s="37"/>
      <c r="P67" s="38" t="str">
        <f aca="false">IF(N67="","",IFERROR(N67-O67,0))</f>
        <v/>
      </c>
      <c r="Q67" s="39" t="n">
        <f aca="false">IF(B67="","",IFERROR(IF(U67&lt;&gt;"",U67,IF(T67=1,G67+IFERROR(J67,0)+IFERROR(M67,0)-IFERROR(P67,0),(G67+IFERROR(J67,0)+IFERROR(M67,0)-IFERROR(P67,0))*S67)),0))</f>
        <v>0</v>
      </c>
      <c r="R67" s="38" t="n">
        <f aca="false">IF(B67="","",IFERROR(G67+IFERROR(J67,0)+IFERROR(M67,0)-IFERROR(P67,0),0))</f>
        <v>0</v>
      </c>
      <c r="S67" s="40" t="n">
        <v>0.25</v>
      </c>
      <c r="V67" s="41" t="n">
        <f aca="false">IF(B67="","",IFERROR(H67+IFERROR(J67,0)-IFERROR(N67,0),0))</f>
        <v>2559.32</v>
      </c>
      <c r="W67" s="42" t="n">
        <f aca="false">IF(B67="","",IFERROR(V67-X67,0))</f>
        <v>2559.32</v>
      </c>
      <c r="X67" s="38" t="n">
        <f aca="false">IF(B67="","",IFERROR(I67+Q67-IFERROR(O67,0),0))</f>
        <v>0</v>
      </c>
      <c r="Y67" s="0" t="n">
        <v>2559.32</v>
      </c>
    </row>
  </sheetData>
  <mergeCells count="6">
    <mergeCell ref="A1:W1"/>
    <mergeCell ref="A2:D2"/>
    <mergeCell ref="J2:M2"/>
    <mergeCell ref="N2:P2"/>
    <mergeCell ref="V2:W2"/>
    <mergeCell ref="B4:D4"/>
  </mergeCells>
  <conditionalFormatting sqref="C6:C505">
    <cfRule type="expression" priority="2" aboveAverage="0" equalAverage="0" bottom="0" percent="0" rank="0" text="" dxfId="0">
      <formula>AND(C6&lt;&gt;"",COUNTIF($C$6:$C$505,C6)&gt;1)</formula>
    </cfRule>
  </conditionalFormatting>
  <dataValidations count="1">
    <dataValidation allowBlank="false" error="Düzgün kod: bt ma nv ym yt dg it" errorStyle="stop" errorTitle="Xəta" operator="between" showDropDown="false" showErrorMessage="true" showInputMessage="false" sqref="B6:B505" type="list">
      <formula1>"bt,ma,nv,ym,yt,dg,it"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1" max="5" min="5" style="0" width="15"/>
    <col collapsed="false" customWidth="true" hidden="false" outlineLevel="1" max="6" min="6" style="0" width="14"/>
    <col collapsed="false" customWidth="true" hidden="false" outlineLevel="1" max="7" min="7" style="0" width="8"/>
    <col collapsed="false" customWidth="true" hidden="false" outlineLevel="1" max="9" min="8" style="0" width="14"/>
    <col collapsed="false" customWidth="true" hidden="false" outlineLevel="0" max="10" min="10" style="0" width="15"/>
    <col collapsed="false" customWidth="true" hidden="true" outlineLevel="0" max="12" min="11" style="0" width="11.53"/>
    <col collapsed="false" customWidth="true" hidden="false" outlineLevel="0" max="14" min="13" style="0" width="15"/>
    <col collapsed="false" customWidth="true" hidden="false" outlineLevel="1" max="15" min="15" style="0" width="15"/>
  </cols>
  <sheetData>
    <row r="1" customFormat="false" ht="30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19" t="s">
        <v>25</v>
      </c>
      <c r="B2" s="19"/>
      <c r="C2" s="19"/>
      <c r="D2" s="20" t="s">
        <v>26</v>
      </c>
      <c r="F2" s="21" t="s">
        <v>27</v>
      </c>
      <c r="G2" s="21"/>
      <c r="H2" s="22" t="s">
        <v>28</v>
      </c>
      <c r="I2" s="22"/>
      <c r="J2" s="21" t="s">
        <v>8</v>
      </c>
      <c r="M2" s="23" t="s">
        <v>29</v>
      </c>
      <c r="N2" s="23"/>
    </row>
    <row r="3" customFormat="false" ht="22.35" hidden="false" customHeight="false" outlineLevel="0" collapsed="false">
      <c r="A3" s="5" t="s">
        <v>31</v>
      </c>
      <c r="B3" s="24" t="s">
        <v>33</v>
      </c>
      <c r="C3" s="5" t="s">
        <v>107</v>
      </c>
      <c r="D3" s="25" t="s">
        <v>37</v>
      </c>
      <c r="E3" s="26" t="s">
        <v>38</v>
      </c>
      <c r="F3" s="26" t="s">
        <v>39</v>
      </c>
      <c r="G3" s="5" t="s">
        <v>108</v>
      </c>
      <c r="H3" s="26" t="s">
        <v>43</v>
      </c>
      <c r="I3" s="26" t="s">
        <v>44</v>
      </c>
      <c r="J3" s="27" t="s">
        <v>46</v>
      </c>
      <c r="M3" s="28" t="s">
        <v>49</v>
      </c>
      <c r="N3" s="26" t="s">
        <v>50</v>
      </c>
      <c r="O3" s="26" t="s">
        <v>51</v>
      </c>
    </row>
    <row r="4" customFormat="false" ht="21.75" hidden="false" customHeight="true" outlineLevel="0" collapsed="false">
      <c r="A4" s="30" t="s">
        <v>22</v>
      </c>
      <c r="B4" s="30"/>
      <c r="C4" s="30"/>
      <c r="D4" s="14" t="n">
        <f aca="false">IFERROR(SUM(D6:D505),0)</f>
        <v>4384.59</v>
      </c>
      <c r="E4" s="17" t="n">
        <f aca="false">IFERROR(SUM(E6:E505),0)</f>
        <v>447.534</v>
      </c>
      <c r="J4" s="15" t="n">
        <f aca="false">IFERROR(SUM(J6:J505),0)</f>
        <v>438.459</v>
      </c>
      <c r="M4" s="16" t="n">
        <f aca="false">IFERROR(SUM(M6:M505),0)</f>
        <v>4384.59</v>
      </c>
      <c r="N4" s="17" t="n">
        <f aca="false">IFERROR(SUM(N6:N505),0)</f>
        <v>3498.597</v>
      </c>
      <c r="O4" s="17" t="n">
        <f aca="false">IFERROR(SUM(O6:O505),0)</f>
        <v>885.993</v>
      </c>
    </row>
    <row r="5" customFormat="false" ht="4.5" hidden="false" customHeight="true" outlineLevel="0" collapsed="false"/>
    <row r="6" customFormat="false" ht="18" hidden="false" customHeight="true" outlineLevel="0" collapsed="false">
      <c r="A6" s="32" t="s">
        <v>109</v>
      </c>
      <c r="B6" s="33" t="s">
        <v>110</v>
      </c>
      <c r="C6" s="32" t="s">
        <v>109</v>
      </c>
      <c r="D6" s="36" t="n">
        <v>288.81</v>
      </c>
      <c r="E6" s="37" t="n">
        <v>54.87</v>
      </c>
      <c r="F6" s="37"/>
      <c r="G6" s="44"/>
      <c r="H6" s="37"/>
      <c r="I6" s="37"/>
      <c r="J6" s="39" t="n">
        <f aca="false">IF(A6="","",IFERROR(IF(L6&lt;&gt;"",L6,IF(C6="qma-m",IF(G6&gt;0,MIN((D6+IFERROR(F6,0))*(1/G6),(D6+IFERROR(F6,0))-(E6-IFERROR(I6,0))),0),MIN((D6+IFERROR(F6,0))*0.1,(D6+IFERROR(F6,0))-(E6-IFERROR(I6,0))))),0))</f>
        <v>28.881</v>
      </c>
      <c r="M6" s="41" t="n">
        <f aca="false">IF(A6="","",IFERROR(D6+IFERROR(F6,0)-IFERROR(H6,0),0))</f>
        <v>288.81</v>
      </c>
      <c r="N6" s="42" t="n">
        <f aca="false">IF(A6="","",IFERROR(M6-O6,0))</f>
        <v>205.059</v>
      </c>
      <c r="O6" s="38" t="n">
        <f aca="false">IF(A6="","",IFERROR(E6+J6-IFERROR(I6,0),0))</f>
        <v>83.751</v>
      </c>
    </row>
    <row r="7" customFormat="false" ht="18" hidden="false" customHeight="true" outlineLevel="0" collapsed="false">
      <c r="A7" s="32" t="s">
        <v>109</v>
      </c>
      <c r="B7" s="33" t="s">
        <v>110</v>
      </c>
      <c r="C7" s="32" t="s">
        <v>109</v>
      </c>
      <c r="D7" s="36" t="n">
        <v>288.81</v>
      </c>
      <c r="E7" s="37" t="n">
        <v>54.87</v>
      </c>
      <c r="F7" s="37"/>
      <c r="G7" s="44"/>
      <c r="H7" s="37"/>
      <c r="I7" s="37"/>
      <c r="J7" s="39" t="n">
        <f aca="false">IF(A7="","",IFERROR(IF(L7&lt;&gt;"",L7,IF(C7="qma-m",IF(G7&gt;0,MIN((D7+IFERROR(F7,0))*(1/G7),(D7+IFERROR(F7,0))-(E7-IFERROR(I7,0))),0),MIN((D7+IFERROR(F7,0))*0.1,(D7+IFERROR(F7,0))-(E7-IFERROR(I7,0))))),0))</f>
        <v>28.881</v>
      </c>
      <c r="M7" s="41" t="n">
        <f aca="false">IF(A7="","",IFERROR(D7+IFERROR(F7,0)-IFERROR(H7,0),0))</f>
        <v>288.81</v>
      </c>
      <c r="N7" s="42" t="n">
        <f aca="false">IF(A7="","",IFERROR(M7-O7,0))</f>
        <v>205.059</v>
      </c>
      <c r="O7" s="38" t="n">
        <f aca="false">IF(A7="","",IFERROR(E7+J7-IFERROR(I7,0),0))</f>
        <v>83.751</v>
      </c>
    </row>
    <row r="8" customFormat="false" ht="18" hidden="false" customHeight="true" outlineLevel="0" collapsed="false">
      <c r="A8" s="32" t="s">
        <v>109</v>
      </c>
      <c r="B8" s="33" t="s">
        <v>110</v>
      </c>
      <c r="C8" s="32" t="s">
        <v>109</v>
      </c>
      <c r="D8" s="36" t="n">
        <v>288.81</v>
      </c>
      <c r="E8" s="37" t="n">
        <v>54.87</v>
      </c>
      <c r="F8" s="37"/>
      <c r="G8" s="44"/>
      <c r="H8" s="37"/>
      <c r="I8" s="37"/>
      <c r="J8" s="39" t="n">
        <f aca="false">IF(A8="","",IFERROR(IF(L8&lt;&gt;"",L8,IF(C8="qma-m",IF(G8&gt;0,MIN((D8+IFERROR(F8,0))*(1/G8),(D8+IFERROR(F8,0))-(E8-IFERROR(I8,0))),0),MIN((D8+IFERROR(F8,0))*0.1,(D8+IFERROR(F8,0))-(E8-IFERROR(I8,0))))),0))</f>
        <v>28.881</v>
      </c>
      <c r="M8" s="41" t="n">
        <f aca="false">IF(A8="","",IFERROR(D8+IFERROR(F8,0)-IFERROR(H8,0),0))</f>
        <v>288.81</v>
      </c>
      <c r="N8" s="42" t="n">
        <f aca="false">IF(A8="","",IFERROR(M8-O8,0))</f>
        <v>205.059</v>
      </c>
      <c r="O8" s="38" t="n">
        <f aca="false">IF(A8="","",IFERROR(E8+J8-IFERROR(I8,0),0))</f>
        <v>83.751</v>
      </c>
    </row>
    <row r="9" customFormat="false" ht="18" hidden="false" customHeight="true" outlineLevel="0" collapsed="false">
      <c r="A9" s="32" t="s">
        <v>109</v>
      </c>
      <c r="B9" s="33" t="s">
        <v>110</v>
      </c>
      <c r="C9" s="32" t="s">
        <v>109</v>
      </c>
      <c r="D9" s="36" t="n">
        <v>288.81</v>
      </c>
      <c r="E9" s="37" t="n">
        <v>54.87</v>
      </c>
      <c r="F9" s="37"/>
      <c r="G9" s="44"/>
      <c r="H9" s="37"/>
      <c r="I9" s="37"/>
      <c r="J9" s="39" t="n">
        <f aca="false">IF(A9="","",IFERROR(IF(L9&lt;&gt;"",L9,IF(C9="qma-m",IF(G9&gt;0,MIN((D9+IFERROR(F9,0))*(1/G9),(D9+IFERROR(F9,0))-(E9-IFERROR(I9,0))),0),MIN((D9+IFERROR(F9,0))*0.1,(D9+IFERROR(F9,0))-(E9-IFERROR(I9,0))))),0))</f>
        <v>28.881</v>
      </c>
      <c r="M9" s="41" t="n">
        <f aca="false">IF(A9="","",IFERROR(D9+IFERROR(F9,0)-IFERROR(H9,0),0))</f>
        <v>288.81</v>
      </c>
      <c r="N9" s="42" t="n">
        <f aca="false">IF(A9="","",IFERROR(M9-O9,0))</f>
        <v>205.059</v>
      </c>
      <c r="O9" s="38" t="n">
        <f aca="false">IF(A9="","",IFERROR(E9+J9-IFERROR(I9,0),0))</f>
        <v>83.751</v>
      </c>
    </row>
    <row r="10" customFormat="false" ht="18" hidden="false" customHeight="true" outlineLevel="0" collapsed="false">
      <c r="A10" s="32" t="s">
        <v>109</v>
      </c>
      <c r="B10" s="33" t="s">
        <v>110</v>
      </c>
      <c r="C10" s="32" t="s">
        <v>109</v>
      </c>
      <c r="D10" s="36" t="n">
        <v>288.81</v>
      </c>
      <c r="E10" s="37" t="n">
        <v>54.87</v>
      </c>
      <c r="F10" s="37"/>
      <c r="G10" s="44"/>
      <c r="H10" s="37"/>
      <c r="I10" s="37"/>
      <c r="J10" s="39" t="n">
        <f aca="false">IF(A10="","",IFERROR(IF(L10&lt;&gt;"",L10,IF(C10="qma-m",IF(G10&gt;0,MIN((D10+IFERROR(F10,0))*(1/G10),(D10+IFERROR(F10,0))-(E10-IFERROR(I10,0))),0),MIN((D10+IFERROR(F10,0))*0.1,(D10+IFERROR(F10,0))-(E10-IFERROR(I10,0))))),0))</f>
        <v>28.881</v>
      </c>
      <c r="M10" s="41" t="n">
        <f aca="false">IF(A10="","",IFERROR(D10+IFERROR(F10,0)-IFERROR(H10,0),0))</f>
        <v>288.81</v>
      </c>
      <c r="N10" s="42" t="n">
        <f aca="false">IF(A10="","",IFERROR(M10-O10,0))</f>
        <v>205.059</v>
      </c>
      <c r="O10" s="38" t="n">
        <f aca="false">IF(A10="","",IFERROR(E10+J10-IFERROR(I10,0),0))</f>
        <v>83.751</v>
      </c>
    </row>
    <row r="11" customFormat="false" ht="18" hidden="false" customHeight="true" outlineLevel="0" collapsed="false">
      <c r="A11" s="32" t="s">
        <v>109</v>
      </c>
      <c r="B11" s="33" t="s">
        <v>111</v>
      </c>
      <c r="C11" s="32" t="s">
        <v>109</v>
      </c>
      <c r="D11" s="36" t="n">
        <v>288.47</v>
      </c>
      <c r="E11" s="37" t="n">
        <v>28.847</v>
      </c>
      <c r="F11" s="37"/>
      <c r="G11" s="44"/>
      <c r="H11" s="37"/>
      <c r="I11" s="37"/>
      <c r="J11" s="39" t="n">
        <f aca="false">IF(A11="","",IFERROR(IF(L11&lt;&gt;"",L11,IF(C11="qma-m",IF(G11&gt;0,MIN((D11+IFERROR(F11,0))*(1/G11),(D11+IFERROR(F11,0))-(E11-IFERROR(I11,0))),0),MIN((D11+IFERROR(F11,0))*0.1,(D11+IFERROR(F11,0))-(E11-IFERROR(I11,0))))),0))</f>
        <v>28.847</v>
      </c>
      <c r="M11" s="41" t="n">
        <f aca="false">IF(A11="","",IFERROR(D11+IFERROR(F11,0)-IFERROR(H11,0),0))</f>
        <v>288.47</v>
      </c>
      <c r="N11" s="42" t="n">
        <f aca="false">IF(A11="","",IFERROR(M11-O11,0))</f>
        <v>230.776</v>
      </c>
      <c r="O11" s="38" t="n">
        <f aca="false">IF(A11="","",IFERROR(E11+J11-IFERROR(I11,0),0))</f>
        <v>57.694</v>
      </c>
    </row>
    <row r="12" customFormat="false" ht="18" hidden="false" customHeight="true" outlineLevel="0" collapsed="false">
      <c r="A12" s="32" t="s">
        <v>109</v>
      </c>
      <c r="B12" s="33" t="s">
        <v>111</v>
      </c>
      <c r="C12" s="32" t="s">
        <v>109</v>
      </c>
      <c r="D12" s="36" t="n">
        <v>288.47</v>
      </c>
      <c r="E12" s="37" t="n">
        <v>28.847</v>
      </c>
      <c r="F12" s="37"/>
      <c r="G12" s="44"/>
      <c r="H12" s="37"/>
      <c r="I12" s="37"/>
      <c r="J12" s="39" t="n">
        <f aca="false">IF(A12="","",IFERROR(IF(L12&lt;&gt;"",L12,IF(C12="qma-m",IF(G12&gt;0,MIN((D12+IFERROR(F12,0))*(1/G12),(D12+IFERROR(F12,0))-(E12-IFERROR(I12,0))),0),MIN((D12+IFERROR(F12,0))*0.1,(D12+IFERROR(F12,0))-(E12-IFERROR(I12,0))))),0))</f>
        <v>28.847</v>
      </c>
      <c r="M12" s="41" t="n">
        <f aca="false">IF(A12="","",IFERROR(D12+IFERROR(F12,0)-IFERROR(H12,0),0))</f>
        <v>288.47</v>
      </c>
      <c r="N12" s="42" t="n">
        <f aca="false">IF(A12="","",IFERROR(M12-O12,0))</f>
        <v>230.776</v>
      </c>
      <c r="O12" s="38" t="n">
        <f aca="false">IF(A12="","",IFERROR(E12+J12-IFERROR(I12,0),0))</f>
        <v>57.694</v>
      </c>
    </row>
    <row r="13" customFormat="false" ht="18" hidden="false" customHeight="true" outlineLevel="0" collapsed="false">
      <c r="A13" s="32" t="s">
        <v>109</v>
      </c>
      <c r="B13" s="33" t="s">
        <v>110</v>
      </c>
      <c r="C13" s="32" t="s">
        <v>109</v>
      </c>
      <c r="D13" s="36" t="n">
        <v>288.81</v>
      </c>
      <c r="E13" s="37" t="n">
        <v>28.881</v>
      </c>
      <c r="F13" s="37"/>
      <c r="G13" s="44"/>
      <c r="H13" s="37"/>
      <c r="I13" s="37"/>
      <c r="J13" s="39" t="n">
        <f aca="false">IF(A13="","",IFERROR(IF(L13&lt;&gt;"",L13,IF(C13="qma-m",IF(G13&gt;0,MIN((D13+IFERROR(F13,0))*(1/G13),(D13+IFERROR(F13,0))-(E13-IFERROR(I13,0))),0),MIN((D13+IFERROR(F13,0))*0.1,(D13+IFERROR(F13,0))-(E13-IFERROR(I13,0))))),0))</f>
        <v>28.881</v>
      </c>
      <c r="M13" s="41" t="n">
        <f aca="false">IF(A13="","",IFERROR(D13+IFERROR(F13,0)-IFERROR(H13,0),0))</f>
        <v>288.81</v>
      </c>
      <c r="N13" s="42" t="n">
        <f aca="false">IF(A13="","",IFERROR(M13-O13,0))</f>
        <v>231.048</v>
      </c>
      <c r="O13" s="38" t="n">
        <f aca="false">IF(A13="","",IFERROR(E13+J13-IFERROR(I13,0),0))</f>
        <v>57.762</v>
      </c>
    </row>
    <row r="14" customFormat="false" ht="18" hidden="false" customHeight="true" outlineLevel="0" collapsed="false">
      <c r="A14" s="32" t="s">
        <v>109</v>
      </c>
      <c r="B14" s="33" t="s">
        <v>110</v>
      </c>
      <c r="C14" s="32" t="s">
        <v>109</v>
      </c>
      <c r="D14" s="36" t="n">
        <v>288.81</v>
      </c>
      <c r="E14" s="37" t="n">
        <v>28.881</v>
      </c>
      <c r="F14" s="37"/>
      <c r="G14" s="44"/>
      <c r="H14" s="37"/>
      <c r="I14" s="37"/>
      <c r="J14" s="39" t="n">
        <f aca="false">IF(A14="","",IFERROR(IF(L14&lt;&gt;"",L14,IF(C14="qma-m",IF(G14&gt;0,MIN((D14+IFERROR(F14,0))*(1/G14),(D14+IFERROR(F14,0))-(E14-IFERROR(I14,0))),0),MIN((D14+IFERROR(F14,0))*0.1,(D14+IFERROR(F14,0))-(E14-IFERROR(I14,0))))),0))</f>
        <v>28.881</v>
      </c>
      <c r="M14" s="41" t="n">
        <f aca="false">IF(A14="","",IFERROR(D14+IFERROR(F14,0)-IFERROR(H14,0),0))</f>
        <v>288.81</v>
      </c>
      <c r="N14" s="42" t="n">
        <f aca="false">IF(A14="","",IFERROR(M14-O14,0))</f>
        <v>231.048</v>
      </c>
      <c r="O14" s="38" t="n">
        <f aca="false">IF(A14="","",IFERROR(E14+J14-IFERROR(I14,0),0))</f>
        <v>57.762</v>
      </c>
    </row>
    <row r="15" customFormat="false" ht="18" hidden="false" customHeight="true" outlineLevel="0" collapsed="false">
      <c r="A15" s="32" t="s">
        <v>109</v>
      </c>
      <c r="B15" s="33" t="s">
        <v>110</v>
      </c>
      <c r="C15" s="32" t="s">
        <v>109</v>
      </c>
      <c r="D15" s="36" t="n">
        <v>288.81</v>
      </c>
      <c r="E15" s="37" t="n">
        <v>28.881</v>
      </c>
      <c r="F15" s="37"/>
      <c r="G15" s="44"/>
      <c r="H15" s="37"/>
      <c r="I15" s="37"/>
      <c r="J15" s="39" t="n">
        <f aca="false">IF(A15="","",IFERROR(IF(L15&lt;&gt;"",L15,IF(C15="qma-m",IF(G15&gt;0,MIN((D15+IFERROR(F15,0))*(1/G15),(D15+IFERROR(F15,0))-(E15-IFERROR(I15,0))),0),MIN((D15+IFERROR(F15,0))*0.1,(D15+IFERROR(F15,0))-(E15-IFERROR(I15,0))))),0))</f>
        <v>28.881</v>
      </c>
      <c r="M15" s="41" t="n">
        <f aca="false">IF(A15="","",IFERROR(D15+IFERROR(F15,0)-IFERROR(H15,0),0))</f>
        <v>288.81</v>
      </c>
      <c r="N15" s="42" t="n">
        <f aca="false">IF(A15="","",IFERROR(M15-O15,0))</f>
        <v>231.048</v>
      </c>
      <c r="O15" s="38" t="n">
        <f aca="false">IF(A15="","",IFERROR(E15+J15-IFERROR(I15,0),0))</f>
        <v>57.762</v>
      </c>
    </row>
    <row r="16" customFormat="false" ht="18" hidden="false" customHeight="true" outlineLevel="0" collapsed="false">
      <c r="A16" s="32" t="s">
        <v>109</v>
      </c>
      <c r="B16" s="33" t="s">
        <v>110</v>
      </c>
      <c r="C16" s="32" t="s">
        <v>109</v>
      </c>
      <c r="D16" s="36" t="n">
        <v>288.47</v>
      </c>
      <c r="E16" s="37" t="n">
        <v>28.847</v>
      </c>
      <c r="F16" s="37"/>
      <c r="G16" s="44"/>
      <c r="H16" s="37"/>
      <c r="I16" s="37"/>
      <c r="J16" s="39" t="n">
        <f aca="false">IF(A16="","",IFERROR(IF(L16&lt;&gt;"",L16,IF(C16="qma-m",IF(G16&gt;0,MIN((D16+IFERROR(F16,0))*(1/G16),(D16+IFERROR(F16,0))-(E16-IFERROR(I16,0))),0),MIN((D16+IFERROR(F16,0))*0.1,(D16+IFERROR(F16,0))-(E16-IFERROR(I16,0))))),0))</f>
        <v>28.847</v>
      </c>
      <c r="M16" s="41" t="n">
        <f aca="false">IF(A16="","",IFERROR(D16+IFERROR(F16,0)-IFERROR(H16,0),0))</f>
        <v>288.47</v>
      </c>
      <c r="N16" s="42" t="n">
        <f aca="false">IF(A16="","",IFERROR(M16-O16,0))</f>
        <v>230.776</v>
      </c>
      <c r="O16" s="38" t="n">
        <f aca="false">IF(A16="","",IFERROR(E16+J16-IFERROR(I16,0),0))</f>
        <v>57.694</v>
      </c>
    </row>
    <row r="17" customFormat="false" ht="18" hidden="false" customHeight="true" outlineLevel="0" collapsed="false">
      <c r="A17" s="32" t="s">
        <v>109</v>
      </c>
      <c r="B17" s="33" t="s">
        <v>111</v>
      </c>
      <c r="C17" s="32" t="s">
        <v>109</v>
      </c>
      <c r="D17" s="36" t="n">
        <v>302.89</v>
      </c>
      <c r="E17" s="37"/>
      <c r="F17" s="37"/>
      <c r="G17" s="44"/>
      <c r="H17" s="37"/>
      <c r="I17" s="37"/>
      <c r="J17" s="39" t="n">
        <f aca="false">IF(A17="","",IFERROR(IF(L17&lt;&gt;"",L17,IF(C17="qma-m",IF(G17&gt;0,MIN((D17+IFERROR(F17,0))*(1/G17),(D17+IFERROR(F17,0))-(E17-IFERROR(I17,0))),0),MIN((D17+IFERROR(F17,0))*0.1,(D17+IFERROR(F17,0))-(E17-IFERROR(I17,0))))),0))</f>
        <v>30.289</v>
      </c>
      <c r="M17" s="41" t="n">
        <f aca="false">IF(A17="","",IFERROR(D17+IFERROR(F17,0)-IFERROR(H17,0),0))</f>
        <v>302.89</v>
      </c>
      <c r="N17" s="42" t="n">
        <f aca="false">IF(A17="","",IFERROR(M17-O17,0))</f>
        <v>272.601</v>
      </c>
      <c r="O17" s="38" t="n">
        <f aca="false">IF(A17="","",IFERROR(E17+J17-IFERROR(I17,0),0))</f>
        <v>30.289</v>
      </c>
    </row>
    <row r="18" customFormat="false" ht="18" hidden="false" customHeight="true" outlineLevel="0" collapsed="false">
      <c r="A18" s="32" t="s">
        <v>109</v>
      </c>
      <c r="B18" s="33" t="s">
        <v>111</v>
      </c>
      <c r="C18" s="32" t="s">
        <v>109</v>
      </c>
      <c r="D18" s="36" t="n">
        <v>298.57</v>
      </c>
      <c r="E18" s="37"/>
      <c r="F18" s="37"/>
      <c r="G18" s="44"/>
      <c r="H18" s="37"/>
      <c r="I18" s="37"/>
      <c r="J18" s="39" t="n">
        <f aca="false">IF(A18="","",IFERROR(IF(L18&lt;&gt;"",L18,IF(C18="qma-m",IF(G18&gt;0,MIN((D18+IFERROR(F18,0))*(1/G18),(D18+IFERROR(F18,0))-(E18-IFERROR(I18,0))),0),MIN((D18+IFERROR(F18,0))*0.1,(D18+IFERROR(F18,0))-(E18-IFERROR(I18,0))))),0))</f>
        <v>29.857</v>
      </c>
      <c r="M18" s="41" t="n">
        <f aca="false">IF(A18="","",IFERROR(D18+IFERROR(F18,0)-IFERROR(H18,0),0))</f>
        <v>298.57</v>
      </c>
      <c r="N18" s="42" t="n">
        <f aca="false">IF(A18="","",IFERROR(M18-O18,0))</f>
        <v>268.713</v>
      </c>
      <c r="O18" s="38" t="n">
        <f aca="false">IF(A18="","",IFERROR(E18+J18-IFERROR(I18,0),0))</f>
        <v>29.857</v>
      </c>
    </row>
    <row r="19" customFormat="false" ht="18" hidden="false" customHeight="true" outlineLevel="0" collapsed="false">
      <c r="A19" s="32" t="s">
        <v>109</v>
      </c>
      <c r="B19" s="33" t="s">
        <v>111</v>
      </c>
      <c r="C19" s="32" t="s">
        <v>109</v>
      </c>
      <c r="D19" s="36" t="n">
        <v>298.57</v>
      </c>
      <c r="E19" s="37"/>
      <c r="F19" s="37"/>
      <c r="G19" s="44"/>
      <c r="H19" s="37"/>
      <c r="I19" s="37"/>
      <c r="J19" s="39" t="n">
        <f aca="false">IF(A19="","",IFERROR(IF(L19&lt;&gt;"",L19,IF(C19="qma-m",IF(G19&gt;0,MIN((D19+IFERROR(F19,0))*(1/G19),(D19+IFERROR(F19,0))-(E19-IFERROR(I19,0))),0),MIN((D19+IFERROR(F19,0))*0.1,(D19+IFERROR(F19,0))-(E19-IFERROR(I19,0))))),0))</f>
        <v>29.857</v>
      </c>
      <c r="M19" s="41" t="n">
        <f aca="false">IF(A19="","",IFERROR(D19+IFERROR(F19,0)-IFERROR(H19,0),0))</f>
        <v>298.57</v>
      </c>
      <c r="N19" s="42" t="n">
        <f aca="false">IF(A19="","",IFERROR(M19-O19,0))</f>
        <v>268.713</v>
      </c>
      <c r="O19" s="38" t="n">
        <f aca="false">IF(A19="","",IFERROR(E19+J19-IFERROR(I19,0),0))</f>
        <v>29.857</v>
      </c>
    </row>
    <row r="20" customFormat="false" ht="18" hidden="false" customHeight="true" outlineLevel="0" collapsed="false">
      <c r="A20" s="32" t="s">
        <v>109</v>
      </c>
      <c r="B20" s="33" t="s">
        <v>111</v>
      </c>
      <c r="C20" s="32" t="s">
        <v>109</v>
      </c>
      <c r="D20" s="36" t="n">
        <v>308.67</v>
      </c>
      <c r="E20" s="37"/>
      <c r="F20" s="37"/>
      <c r="G20" s="44"/>
      <c r="H20" s="37"/>
      <c r="I20" s="37"/>
      <c r="J20" s="39" t="n">
        <f aca="false">IF(A20="","",IFERROR(IF(L20&lt;&gt;"",L20,IF(C20="qma-m",IF(G20&gt;0,MIN((D20+IFERROR(F20,0))*(1/G20),(D20+IFERROR(F20,0))-(E20-IFERROR(I20,0))),0),MIN((D20+IFERROR(F20,0))*0.1,(D20+IFERROR(F20,0))-(E20-IFERROR(I20,0))))),0))</f>
        <v>30.867</v>
      </c>
      <c r="M20" s="41" t="n">
        <f aca="false">IF(A20="","",IFERROR(D20+IFERROR(F20,0)-IFERROR(H20,0),0))</f>
        <v>308.67</v>
      </c>
      <c r="N20" s="42" t="n">
        <f aca="false">IF(A20="","",IFERROR(M20-O20,0))</f>
        <v>277.803</v>
      </c>
      <c r="O20" s="38" t="n">
        <f aca="false">IF(A20="","",IFERROR(E20+J20-IFERROR(I20,0),0))</f>
        <v>30.867</v>
      </c>
    </row>
  </sheetData>
  <mergeCells count="6">
    <mergeCell ref="A1:N1"/>
    <mergeCell ref="A2:C2"/>
    <mergeCell ref="F2:G2"/>
    <mergeCell ref="H2:I2"/>
    <mergeCell ref="M2:N2"/>
    <mergeCell ref="A4:C4"/>
  </mergeCells>
  <dataValidations count="1">
    <dataValidation allowBlank="false" errorStyle="stop" operator="between" showDropDown="false" showErrorMessage="false" showInputMessage="false" sqref="A6:A505" type="list">
      <formula1>"qma-m,qma-n"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24"/>
  </cols>
  <sheetData>
    <row r="1" customFormat="false" ht="30" hidden="false" customHeight="true" outlineLevel="0" collapsed="false">
      <c r="A1" s="1" t="s">
        <v>112</v>
      </c>
      <c r="B1" s="1"/>
      <c r="C1" s="1"/>
      <c r="D1" s="1"/>
      <c r="E1" s="1"/>
      <c r="F1" s="1"/>
    </row>
    <row r="2" customFormat="false" ht="7.5" hidden="false" customHeight="true" outlineLevel="0" collapsed="false"/>
    <row r="3" customFormat="false" ht="27.75" hidden="false" customHeight="true" outlineLevel="0" collapsed="false">
      <c r="A3" s="5" t="s">
        <v>31</v>
      </c>
      <c r="B3" s="5" t="s">
        <v>6</v>
      </c>
      <c r="C3" s="5" t="s">
        <v>113</v>
      </c>
      <c r="D3" s="5" t="s">
        <v>114</v>
      </c>
      <c r="E3" s="5" t="s">
        <v>115</v>
      </c>
      <c r="F3" s="5" t="s">
        <v>116</v>
      </c>
    </row>
    <row r="4" customFormat="false" ht="19.5" hidden="false" customHeight="true" outlineLevel="0" collapsed="false">
      <c r="A4" s="45" t="s">
        <v>52</v>
      </c>
      <c r="B4" s="46" t="s">
        <v>12</v>
      </c>
      <c r="C4" s="47" t="n">
        <v>0.07</v>
      </c>
      <c r="D4" s="47" t="n">
        <v>0.02</v>
      </c>
      <c r="E4" s="45" t="n">
        <v>1</v>
      </c>
      <c r="F4" s="46" t="s">
        <v>117</v>
      </c>
    </row>
    <row r="5" customFormat="false" ht="19.5" hidden="false" customHeight="true" outlineLevel="0" collapsed="false">
      <c r="A5" s="45" t="s">
        <v>53</v>
      </c>
      <c r="B5" s="46" t="s">
        <v>13</v>
      </c>
      <c r="C5" s="47" t="n">
        <v>0.2</v>
      </c>
      <c r="D5" s="47" t="n">
        <v>0.05</v>
      </c>
      <c r="E5" s="45" t="n">
        <v>1</v>
      </c>
      <c r="F5" s="46" t="s">
        <v>118</v>
      </c>
    </row>
    <row r="6" customFormat="false" ht="19.5" hidden="false" customHeight="true" outlineLevel="0" collapsed="false">
      <c r="A6" s="45" t="s">
        <v>54</v>
      </c>
      <c r="B6" s="46" t="s">
        <v>14</v>
      </c>
      <c r="C6" s="47" t="n">
        <v>0.25</v>
      </c>
      <c r="D6" s="47" t="n">
        <v>0.03</v>
      </c>
      <c r="E6" s="45" t="n">
        <v>1</v>
      </c>
      <c r="F6" s="46" t="s">
        <v>119</v>
      </c>
    </row>
    <row r="7" customFormat="false" ht="19.5" hidden="false" customHeight="true" outlineLevel="0" collapsed="false">
      <c r="A7" s="45" t="s">
        <v>55</v>
      </c>
      <c r="B7" s="46" t="s">
        <v>15</v>
      </c>
      <c r="C7" s="47" t="n">
        <v>0.25</v>
      </c>
      <c r="D7" s="47" t="n">
        <v>0.08</v>
      </c>
      <c r="E7" s="45" t="n">
        <v>1</v>
      </c>
      <c r="F7" s="46" t="s">
        <v>119</v>
      </c>
    </row>
    <row r="8" customFormat="false" ht="19.5" hidden="false" customHeight="true" outlineLevel="0" collapsed="false">
      <c r="A8" s="45" t="s">
        <v>56</v>
      </c>
      <c r="B8" s="46" t="s">
        <v>16</v>
      </c>
      <c r="C8" s="47" t="n">
        <v>0.25</v>
      </c>
      <c r="D8" s="47" t="n">
        <v>0.03</v>
      </c>
      <c r="E8" s="45" t="n">
        <v>1</v>
      </c>
      <c r="F8" s="46" t="s">
        <v>119</v>
      </c>
    </row>
    <row r="9" customFormat="false" ht="19.5" hidden="false" customHeight="true" outlineLevel="0" collapsed="false">
      <c r="A9" s="45" t="s">
        <v>57</v>
      </c>
      <c r="B9" s="46" t="s">
        <v>17</v>
      </c>
      <c r="C9" s="47" t="n">
        <v>0.2</v>
      </c>
      <c r="D9" s="47" t="n">
        <v>0.03</v>
      </c>
      <c r="E9" s="45" t="n">
        <v>1</v>
      </c>
      <c r="F9" s="46" t="s">
        <v>118</v>
      </c>
    </row>
    <row r="10" customFormat="false" ht="19.5" hidden="false" customHeight="true" outlineLevel="0" collapsed="false">
      <c r="A10" s="45" t="s">
        <v>58</v>
      </c>
      <c r="B10" s="46" t="s">
        <v>120</v>
      </c>
      <c r="C10" s="45"/>
      <c r="D10" s="47" t="n">
        <v>0.03</v>
      </c>
      <c r="E10" s="45" t="n">
        <v>1</v>
      </c>
      <c r="F10" s="46" t="s">
        <v>121</v>
      </c>
    </row>
    <row r="11" customFormat="false" ht="19.5" hidden="false" customHeight="true" outlineLevel="0" collapsed="false">
      <c r="A11" s="45" t="s">
        <v>122</v>
      </c>
      <c r="B11" s="46" t="s">
        <v>19</v>
      </c>
      <c r="C11" s="45"/>
      <c r="D11" s="45"/>
      <c r="E11" s="45"/>
      <c r="F11" s="46" t="s">
        <v>123</v>
      </c>
    </row>
    <row r="12" customFormat="false" ht="19.5" hidden="false" customHeight="true" outlineLevel="0" collapsed="false">
      <c r="A12" s="45" t="s">
        <v>109</v>
      </c>
      <c r="B12" s="46" t="s">
        <v>21</v>
      </c>
      <c r="C12" s="47" t="n">
        <v>0.1</v>
      </c>
      <c r="D12" s="45"/>
      <c r="E12" s="45"/>
      <c r="F12" s="46" t="s">
        <v>124</v>
      </c>
    </row>
    <row r="14" customFormat="false" ht="13.5" hidden="false" customHeight="true" outlineLevel="0" collapsed="false"/>
    <row r="15" customFormat="false" ht="15" hidden="false" customHeight="false" outlineLevel="0" collapsed="false">
      <c r="A15" s="48" t="s">
        <v>125</v>
      </c>
      <c r="B15" s="48"/>
      <c r="C15" s="48"/>
      <c r="D15" s="48"/>
      <c r="E15" s="48"/>
      <c r="F15" s="48"/>
    </row>
    <row r="16" customFormat="false" ht="19.5" hidden="false" customHeight="true" outlineLevel="0" collapsed="false">
      <c r="A16" s="9" t="s">
        <v>126</v>
      </c>
      <c r="B16" s="49" t="n">
        <v>2</v>
      </c>
      <c r="C16" s="50" t="s">
        <v>127</v>
      </c>
    </row>
    <row r="17" customFormat="false" ht="19.5" hidden="false" customHeight="true" outlineLevel="0" collapsed="false">
      <c r="A17" s="9" t="s">
        <v>128</v>
      </c>
      <c r="B17" s="49" t="n">
        <v>1.5</v>
      </c>
      <c r="C17" s="50" t="s">
        <v>127</v>
      </c>
    </row>
    <row r="18" customFormat="false" ht="19.5" hidden="false" customHeight="true" outlineLevel="0" collapsed="false">
      <c r="A18" s="9" t="s">
        <v>129</v>
      </c>
      <c r="B18" s="49" t="n">
        <v>1</v>
      </c>
      <c r="C18" s="50" t="s">
        <v>127</v>
      </c>
    </row>
  </sheetData>
  <mergeCells count="2">
    <mergeCell ref="A1:F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8" min="5" style="0" width="16"/>
  </cols>
  <sheetData>
    <row r="1" customFormat="false" ht="30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</row>
    <row r="2" customFormat="false" ht="7.5" hidden="false" customHeight="true" outlineLevel="0" collapsed="false"/>
    <row r="3" customFormat="false" ht="30" hidden="false" customHeight="true" outlineLevel="0" collapsed="false">
      <c r="A3" s="5" t="s">
        <v>31</v>
      </c>
      <c r="B3" s="5" t="s">
        <v>6</v>
      </c>
      <c r="C3" s="5" t="s">
        <v>131</v>
      </c>
      <c r="D3" s="5" t="s">
        <v>132</v>
      </c>
      <c r="E3" s="5" t="s">
        <v>133</v>
      </c>
      <c r="F3" s="5" t="s">
        <v>134</v>
      </c>
      <c r="G3" s="5" t="s">
        <v>135</v>
      </c>
      <c r="H3" s="5" t="s">
        <v>136</v>
      </c>
    </row>
    <row r="4" customFormat="false" ht="21.75" hidden="false" customHeight="true" outlineLevel="0" collapsed="false">
      <c r="A4" s="9" t="s">
        <v>52</v>
      </c>
      <c r="B4" s="9" t="s">
        <v>12</v>
      </c>
      <c r="C4" s="38" t="n">
        <f aca="false">IFERROR(SUMIF(EV!B:B,"bt",EV!G:G),0)</f>
        <v>38447.54</v>
      </c>
      <c r="D4" s="51" t="n">
        <v>0.02</v>
      </c>
      <c r="E4" s="38" t="n">
        <f aca="false">IFERROR(C4*D4,0)</f>
        <v>768.9508</v>
      </c>
      <c r="F4" s="37"/>
      <c r="G4" s="38" t="str">
        <f aca="false">IF(F4="","",IFERROR(MIN(E4,F4),0))</f>
        <v/>
      </c>
      <c r="H4" s="38" t="str">
        <f aca="false">IF(F4="","",IFERROR(MAX(0,F4-E4),0))</f>
        <v/>
      </c>
    </row>
    <row r="5" customFormat="false" ht="21.75" hidden="false" customHeight="true" outlineLevel="0" collapsed="false">
      <c r="A5" s="9" t="s">
        <v>53</v>
      </c>
      <c r="B5" s="9" t="s">
        <v>13</v>
      </c>
      <c r="C5" s="38" t="n">
        <f aca="false">IFERROR(SUMIF(EV!B:B,"ma",EV!G:G),0)</f>
        <v>0</v>
      </c>
      <c r="D5" s="51" t="n">
        <v>0.05</v>
      </c>
      <c r="E5" s="38" t="n">
        <f aca="false">IFERROR(C5*D5,0)</f>
        <v>0</v>
      </c>
      <c r="F5" s="37"/>
      <c r="G5" s="38" t="str">
        <f aca="false">IF(F5="","",IFERROR(MIN(E5,F5),0))</f>
        <v/>
      </c>
      <c r="H5" s="38" t="str">
        <f aca="false">IF(F5="","",IFERROR(MAX(0,F5-E5),0))</f>
        <v/>
      </c>
    </row>
    <row r="6" customFormat="false" ht="21.75" hidden="false" customHeight="true" outlineLevel="0" collapsed="false">
      <c r="A6" s="9" t="s">
        <v>54</v>
      </c>
      <c r="B6" s="9" t="s">
        <v>14</v>
      </c>
      <c r="C6" s="38" t="n">
        <f aca="false">IFERROR(SUMIF(EV!B:B,"nv",EV!G:G),0)</f>
        <v>0</v>
      </c>
      <c r="D6" s="51" t="n">
        <v>0.03</v>
      </c>
      <c r="E6" s="38" t="n">
        <f aca="false">IFERROR(C6*D6,0)</f>
        <v>0</v>
      </c>
      <c r="F6" s="37"/>
      <c r="G6" s="38" t="str">
        <f aca="false">IF(F6="","",IFERROR(MIN(E6,F6),0))</f>
        <v/>
      </c>
      <c r="H6" s="38" t="str">
        <f aca="false">IF(F6="","",IFERROR(MAX(0,F6-E6),0))</f>
        <v/>
      </c>
    </row>
    <row r="7" customFormat="false" ht="21.75" hidden="false" customHeight="true" outlineLevel="0" collapsed="false">
      <c r="A7" s="9" t="s">
        <v>55</v>
      </c>
      <c r="B7" s="9" t="s">
        <v>15</v>
      </c>
      <c r="C7" s="38" t="n">
        <f aca="false">IFERROR(SUMIF(EV!B:B,"ym",EV!G:G),0)</f>
        <v>0</v>
      </c>
      <c r="D7" s="51" t="n">
        <v>0.08</v>
      </c>
      <c r="E7" s="38" t="n">
        <f aca="false">IFERROR(C7*D7,0)</f>
        <v>0</v>
      </c>
      <c r="F7" s="37"/>
      <c r="G7" s="38" t="str">
        <f aca="false">IF(F7="","",IFERROR(MIN(E7,F7),0))</f>
        <v/>
      </c>
      <c r="H7" s="38" t="str">
        <f aca="false">IF(F7="","",IFERROR(MAX(0,F7-E7),0))</f>
        <v/>
      </c>
    </row>
    <row r="8" customFormat="false" ht="21.75" hidden="false" customHeight="true" outlineLevel="0" collapsed="false">
      <c r="A8" s="9" t="s">
        <v>56</v>
      </c>
      <c r="B8" s="9" t="s">
        <v>16</v>
      </c>
      <c r="C8" s="38" t="n">
        <f aca="false">IFERROR(SUMIF(EV!B:B,"yt",EV!G:G),0)</f>
        <v>70972.116875</v>
      </c>
      <c r="D8" s="51" t="n">
        <v>0.03</v>
      </c>
      <c r="E8" s="38" t="n">
        <f aca="false">IFERROR(C8*D8,0)</f>
        <v>2129.16350625</v>
      </c>
      <c r="F8" s="37"/>
      <c r="G8" s="38" t="str">
        <f aca="false">IF(F8="","",IFERROR(MIN(E8,F8),0))</f>
        <v/>
      </c>
      <c r="H8" s="38" t="str">
        <f aca="false">IF(F8="","",IFERROR(MAX(0,F8-E8),0))</f>
        <v/>
      </c>
    </row>
    <row r="9" customFormat="false" ht="21.75" hidden="false" customHeight="true" outlineLevel="0" collapsed="false">
      <c r="A9" s="9" t="s">
        <v>57</v>
      </c>
      <c r="B9" s="9" t="s">
        <v>17</v>
      </c>
      <c r="C9" s="38" t="n">
        <f aca="false">IFERROR(SUMIF(EV!B:B,"dg",EV!G:G),0)</f>
        <v>11260.8792</v>
      </c>
      <c r="D9" s="51" t="n">
        <v>0.03</v>
      </c>
      <c r="E9" s="38" t="n">
        <f aca="false">IFERROR(C9*D9,0)</f>
        <v>337.826376</v>
      </c>
      <c r="F9" s="37"/>
      <c r="G9" s="38" t="str">
        <f aca="false">IF(F9="","",IFERROR(MIN(E9,F9),0))</f>
        <v/>
      </c>
      <c r="H9" s="38" t="str">
        <f aca="false">IF(F9="","",IFERROR(MAX(0,F9-E9),0))</f>
        <v/>
      </c>
    </row>
    <row r="10" customFormat="false" ht="21.75" hidden="false" customHeight="true" outlineLevel="0" collapsed="false">
      <c r="A10" s="9" t="s">
        <v>58</v>
      </c>
      <c r="B10" s="9" t="s">
        <v>18</v>
      </c>
      <c r="C10" s="38" t="n">
        <f aca="false">IFERROR(SUMIF(EV!B:B,"it",EV!G:G),0)</f>
        <v>0</v>
      </c>
      <c r="D10" s="51" t="n">
        <v>0.03</v>
      </c>
      <c r="E10" s="38" t="n">
        <f aca="false">IFERROR(C10*D10,0)</f>
        <v>0</v>
      </c>
      <c r="F10" s="37"/>
      <c r="G10" s="38" t="str">
        <f aca="false">IF(F10="","",IFERROR(MIN(E10,F10),0))</f>
        <v/>
      </c>
      <c r="H10" s="38" t="str">
        <f aca="false">IF(F10="","",IFERROR(MAX(0,F10-E10),0))</f>
        <v/>
      </c>
    </row>
    <row r="11" customFormat="false" ht="21.75" hidden="false" customHeight="true" outlineLevel="0" collapsed="false">
      <c r="A11" s="48" t="s">
        <v>137</v>
      </c>
      <c r="B11" s="48"/>
      <c r="C11" s="17" t="n">
        <f aca="false">IFERROR(SUM(C4:C10),0)</f>
        <v>120680.536075</v>
      </c>
      <c r="E11" s="17" t="n">
        <f aca="false">IFERROR(SUM(E4:E10),0)</f>
        <v>3235.94068225</v>
      </c>
      <c r="F11" s="17" t="n">
        <f aca="false">IFERROR(SUM(F4:F10),0)</f>
        <v>0</v>
      </c>
      <c r="G11" s="17" t="n">
        <f aca="false">IFERROR(SUM(G4:G10),0)</f>
        <v>0</v>
      </c>
      <c r="H11" s="17" t="n">
        <f aca="false">IFERROR(SUM(H4:H10),0)</f>
        <v>0</v>
      </c>
    </row>
  </sheetData>
  <mergeCells count="2">
    <mergeCell ref="A1:H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2026-05-01T06:28:07Z</dcterms:created>
  <dc:creator>openpyxl</dc:creator>
  <dc:description/>
  <dc:language>en-US</dc:language>
  <cp:lastModifiedBy/>
  <dcterms:modified xsi:type="dcterms:W3CDTF">2026-05-01T06:28:08Z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